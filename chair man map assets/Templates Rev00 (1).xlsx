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hmed Elsherbiny\AI PROJECTS\APPs PROJECTS\FOLLOW-UP APPLICATION OVERSEAS ONLINE DASHBOARD\chair man map assets\"/>
    </mc:Choice>
  </mc:AlternateContent>
  <xr:revisionPtr revIDLastSave="0" documentId="13_ncr:1_{7D0C0A32-DC77-417F-9205-7EB3DFD3F1C7}"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PROJECT BACK HECTORY" sheetId="2" r:id="rId2"/>
    <sheet name="Alart Back History" sheetId="3" r:id="rId3"/>
  </sheets>
  <definedNames>
    <definedName name="_xlnm._FilterDatabase" localSheetId="2" hidden="1">'Alart Back History'!$A$1:$L$1</definedName>
    <definedName name="_xlnm._FilterDatabase" localSheetId="1" hidden="1">'PROJECT BACK HECTORY'!$B$1:$AB$91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A91" i="2" a="1"/>
  <c r="A90" i="2" a="1"/>
  <c r="A89" i="2" a="1"/>
  <c r="A88" i="2" a="1"/>
  <c r="A87" i="2" a="1"/>
  <c r="A86" i="2" a="1"/>
  <c r="A85" i="2" a="1"/>
  <c r="A84" i="2" a="1"/>
  <c r="A83" i="2" a="1"/>
  <c r="A82" i="2" a="1"/>
  <c r="A81" i="2" a="1"/>
  <c r="A80" i="2" a="1"/>
  <c r="A79" i="2" a="1"/>
  <c r="A78" i="2" a="1"/>
  <c r="A77" i="2" a="1"/>
  <c r="A76" i="2" a="1"/>
  <c r="A75" i="2" a="1"/>
  <c r="A74" i="2" a="1"/>
  <c r="A73" i="2" a="1"/>
  <c r="A72" i="2" a="1"/>
  <c r="A71" i="2" a="1"/>
  <c r="A70" i="2" a="1"/>
  <c r="A69" i="2" a="1"/>
  <c r="A68" i="2" a="1"/>
  <c r="A67" i="2" a="1"/>
  <c r="A66" i="2" a="1"/>
  <c r="A65" i="2" a="1"/>
  <c r="A64" i="2" a="1"/>
  <c r="A63" i="2" a="1"/>
  <c r="A62" i="2" a="1"/>
  <c r="A61" i="2" a="1"/>
  <c r="A60" i="2" a="1"/>
  <c r="A59" i="2" a="1"/>
  <c r="A58" i="2" a="1"/>
  <c r="A57" i="2" a="1"/>
  <c r="A56" i="2" a="1"/>
  <c r="A55" i="2" a="1"/>
  <c r="A54" i="2" a="1"/>
  <c r="A53" i="2" a="1"/>
  <c r="A52" i="2" a="1"/>
  <c r="A51" i="2" a="1"/>
  <c r="A50" i="2" a="1"/>
  <c r="A49" i="2" a="1"/>
  <c r="A48" i="2" a="1"/>
  <c r="A47" i="2" a="1"/>
  <c r="A46" i="2" a="1"/>
  <c r="A45" i="2" a="1"/>
  <c r="A44" i="2" a="1"/>
  <c r="A43" i="2" a="1"/>
  <c r="A42" i="2" a="1"/>
  <c r="A41" i="2" a="1"/>
  <c r="A40" i="2" a="1"/>
  <c r="A39" i="2" a="1"/>
  <c r="A38" i="2" a="1"/>
  <c r="A37" i="2" a="1"/>
  <c r="A36" i="2" a="1"/>
  <c r="A35" i="2" a="1"/>
  <c r="A34" i="2" a="1"/>
  <c r="A33" i="2" a="1"/>
  <c r="A32" i="2" a="1"/>
  <c r="A31" i="2" a="1"/>
  <c r="A30" i="2" a="1"/>
  <c r="A29" i="2" a="1"/>
  <c r="A28" i="2" a="1"/>
  <c r="A27" i="2" a="1"/>
  <c r="A26" i="2" a="1"/>
  <c r="A25" i="2" a="1"/>
  <c r="A24" i="2" a="1"/>
  <c r="A23" i="2" a="1"/>
  <c r="A22" i="2" a="1"/>
  <c r="A21" i="2" a="1"/>
  <c r="A20" i="2" a="1"/>
  <c r="A19" i="2" a="1"/>
  <c r="A18" i="2" a="1"/>
  <c r="A17" i="2" a="1"/>
  <c r="A16" i="2" a="1"/>
  <c r="A15" i="2" a="1"/>
  <c r="A14" i="2" a="1"/>
  <c r="A13" i="2" a="1"/>
  <c r="A12" i="2" a="1"/>
  <c r="A11" i="2" a="1"/>
  <c r="A10" i="2" a="1"/>
  <c r="A9" i="2" a="1"/>
  <c r="A8" i="2" a="1"/>
  <c r="A7" i="2" a="1"/>
  <c r="A6" i="2" a="1"/>
  <c r="A5" i="2" a="1"/>
  <c r="A4" i="2" a="1"/>
  <c r="A3" i="2" a="1"/>
  <c r="A2" i="2" a="1"/>
  <c r="AA91" i="2"/>
  <c r="AA90" i="2"/>
  <c r="AA89" i="2"/>
  <c r="AA88" i="2"/>
  <c r="AA87" i="2"/>
  <c r="AA86"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Z23" i="2"/>
  <c r="Z22" i="2"/>
  <c r="Z21" i="2"/>
  <c r="Z20" i="2"/>
  <c r="Z19" i="2"/>
  <c r="Z18" i="2"/>
  <c r="Z17" i="2"/>
  <c r="Z16" i="2"/>
  <c r="Z15" i="2"/>
  <c r="Z14" i="2"/>
  <c r="Z13" i="2"/>
  <c r="Z12" i="2"/>
  <c r="Z11" i="2"/>
  <c r="Z10" i="2"/>
  <c r="Z9" i="2"/>
  <c r="Z8" i="2"/>
  <c r="Z7" i="2"/>
  <c r="Z6" i="2"/>
  <c r="Z5" i="2"/>
  <c r="Z4" i="2"/>
  <c r="Z3" i="2"/>
  <c r="Z2" i="2"/>
  <c r="AB45" i="2" l="1"/>
  <c r="AB29" i="2"/>
  <c r="AB69" i="2"/>
  <c r="AB89" i="2"/>
  <c r="AB10" i="2"/>
  <c r="AB30" i="2"/>
  <c r="AB50" i="2"/>
  <c r="AB70" i="2"/>
  <c r="AB90" i="2"/>
  <c r="AB11" i="2"/>
  <c r="AB31" i="2"/>
  <c r="AB51" i="2"/>
  <c r="AB71" i="2"/>
  <c r="AB91" i="2"/>
  <c r="AB21" i="2"/>
  <c r="AB41" i="2"/>
  <c r="AB61" i="2"/>
  <c r="AB81" i="2"/>
  <c r="AB23" i="2"/>
  <c r="AB63" i="2"/>
  <c r="AB83" i="2"/>
  <c r="AB4" i="2"/>
  <c r="AB44" i="2"/>
  <c r="AB84" i="2"/>
  <c r="AB6" i="2"/>
  <c r="AB26" i="2"/>
  <c r="AB46" i="2"/>
  <c r="AB66" i="2"/>
  <c r="AB86" i="2"/>
  <c r="AB27" i="2"/>
  <c r="AB67" i="2"/>
  <c r="AB28" i="2"/>
  <c r="AB68" i="2"/>
  <c r="AB2" i="2"/>
  <c r="AB22" i="2"/>
  <c r="AB42" i="2"/>
  <c r="AB62" i="2"/>
  <c r="AB5" i="2"/>
  <c r="AB25" i="2"/>
  <c r="AB65" i="2"/>
  <c r="AB85" i="2"/>
  <c r="AB82" i="2"/>
  <c r="AB3" i="2"/>
  <c r="AB43" i="2"/>
  <c r="AB24" i="2"/>
  <c r="AB64" i="2"/>
  <c r="AB7" i="2"/>
  <c r="AB47" i="2"/>
  <c r="AB87" i="2"/>
  <c r="AB8" i="2"/>
  <c r="AB48" i="2"/>
  <c r="AB88" i="2"/>
  <c r="AB19" i="2"/>
  <c r="AB39" i="2"/>
  <c r="AB59" i="2"/>
  <c r="AB79" i="2"/>
  <c r="AB9" i="2"/>
  <c r="AB49" i="2"/>
  <c r="AB12" i="2"/>
  <c r="AB32" i="2"/>
  <c r="AB52" i="2"/>
  <c r="AB72" i="2"/>
  <c r="AB13" i="2"/>
  <c r="AB33" i="2"/>
  <c r="AB53" i="2"/>
  <c r="AB73" i="2"/>
  <c r="AB14" i="2"/>
  <c r="AB34" i="2"/>
  <c r="AB54" i="2"/>
  <c r="AB74" i="2"/>
  <c r="AB15" i="2"/>
  <c r="AB35" i="2"/>
  <c r="AB55" i="2"/>
  <c r="AB75" i="2"/>
  <c r="AB16" i="2"/>
  <c r="AB36" i="2"/>
  <c r="AB56" i="2"/>
  <c r="AB76" i="2"/>
  <c r="AB17" i="2"/>
  <c r="AB37" i="2"/>
  <c r="AB57" i="2"/>
  <c r="AB77" i="2"/>
  <c r="AB18" i="2"/>
  <c r="AB38" i="2"/>
  <c r="AB58" i="2"/>
  <c r="AB78" i="2"/>
  <c r="AB20" i="2"/>
  <c r="AB40" i="2"/>
  <c r="AB60" i="2"/>
  <c r="AB80"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<sst xmlns="http://schemas.openxmlformats.org/spreadsheetml/2006/main" count="1723" uniqueCount="339">
  <si>
    <t>PROJECT ID</t>
  </si>
  <si>
    <t>تاريخ تحديث البيان</t>
  </si>
  <si>
    <t>اسم المشروع</t>
  </si>
  <si>
    <t xml:space="preserve">GOOGLE MAP موقع المشروع جغرافيا </t>
  </si>
  <si>
    <t>موقف المطالبات و التحكيم</t>
  </si>
  <si>
    <t>تاريخ بدء المشروع التعاقدى</t>
  </si>
  <si>
    <t>تاريخ نهو المشروع المعدل شامل مد مدة الزمنى</t>
  </si>
  <si>
    <t>اجمالى المدة الزمنية المعتمدة</t>
  </si>
  <si>
    <t>المدة المنقضبة</t>
  </si>
  <si>
    <t>الدولة</t>
  </si>
  <si>
    <t>مشروع مبنى سكنى مكون من أرضي و8 طوابق</t>
  </si>
  <si>
    <t>لا يوجد</t>
  </si>
  <si>
    <t>لا</t>
  </si>
  <si>
    <t>United Arab Emirates</t>
  </si>
  <si>
    <t xml:space="preserve">ممشروع مبنى سكنى مكون من بدروم وأرضي و5 طوابق (الصفا) </t>
  </si>
  <si>
    <t>https://maps.app.goo.gl/wFoxJtjn2LqaS7TB6</t>
  </si>
  <si>
    <t>محطة كهرباء عكراش</t>
  </si>
  <si>
    <t>نعم</t>
  </si>
  <si>
    <t>Morocco</t>
  </si>
  <si>
    <t>محطة كهرباء مغوغة</t>
  </si>
  <si>
    <t>شبكات صرف صحي عنجر</t>
  </si>
  <si>
    <t>Lebanon</t>
  </si>
  <si>
    <t>كوبرى أعلى وادى أبو مهبول</t>
  </si>
  <si>
    <t>كوبرى أعلى وادى مرقص</t>
  </si>
  <si>
    <t>مبانى فرع جامعه الإسكندريه</t>
  </si>
  <si>
    <t>https://maps.app.goo.gl/hNgkhjpfHriUaYX16</t>
  </si>
  <si>
    <t>يوجد</t>
  </si>
  <si>
    <t>Chad</t>
  </si>
  <si>
    <t>إنشاء مصنع فاركو للأدوية</t>
  </si>
  <si>
    <t>استكمال الأجزاء المتبقية من الطريق الدائرى الثالث بمكة المكرمة الجزء الرابع - منطقة العزيزية ( التقاطع الأول - تقاطع طريق الأمير سلطان بن عبد العزيز )</t>
  </si>
  <si>
    <t>استكمال الأجزاء المتبقية من الطريق الدائرى الثالث بمكة المكرمة الجزء الرابع - منطقة العزيزية ( التقاطع الثانى - تقاطع طريق المسجد الحرام )</t>
  </si>
  <si>
    <t>مشروع إنشاء سد وادي الليث بمنطقة مكة المكرمة</t>
  </si>
  <si>
    <t>Construction of sewer network for C3C&amp;C3D are -Seeb catchment</t>
  </si>
  <si>
    <t>Oman</t>
  </si>
  <si>
    <t>إستكمال أعمال مسجد بمنطقة المريخ بدولة قطر</t>
  </si>
  <si>
    <t>Qatar</t>
  </si>
  <si>
    <t>استكمال مشروع برجى التؤام بمنطقة الدفنة</t>
  </si>
  <si>
    <t>انشاء مخزن اغذية ارضى +ميزانين ومبنى مكاتب ارضى واول ومبانى سكنية ارضى وطابقين</t>
  </si>
  <si>
    <t>مشروع إنشاء مدرسة كينجس كوليدج الدولية بمنطقة مسيمير</t>
  </si>
  <si>
    <t>أعمال إنشاء طريق مونجو – أبوضيا ( Lot 1 ) بدء من مدينه مونجو وحتى الكيلو 63+00</t>
  </si>
  <si>
    <t>https://maps.app.goo.gl/bVftkNYSMQsiM7DP7</t>
  </si>
  <si>
    <t>أعمال دراسه وتصميم وتنفيذ عدد 2 كوبرى بمدينتى بطحه وبطيحه على مسافه 30 كم من مدينه أبشا</t>
  </si>
  <si>
    <t>https://maps.app.goo.gl/DcktY8q8jMvpo5Xr7</t>
  </si>
  <si>
    <t>إنشاء طريق Abeche- Abouglem بطول 95 كم</t>
  </si>
  <si>
    <t>https://maps.app.goo.gl/JUjBt1HGQ2HFH7nV6</t>
  </si>
  <si>
    <t>التطوير الحضري لعدد 6 قرى</t>
  </si>
  <si>
    <t>https://maps.app.goo.gl/5Xq3R6ytzboHm3LK9 ,https://maps.app.goo.gl/Nx1Lff9g8LvVCJhG9 ,https://maps.app.goo.gl/jWgCKS1T97n7T2dt8, https://maps.app.goo.gl/eMfB33MsJ26MEyif9</t>
  </si>
  <si>
    <t>Guinea</t>
  </si>
  <si>
    <t>الطرق الداخليه لمنطقة سيمو  (مرحله ثانيه)</t>
  </si>
  <si>
    <t>https://maps.app.goo.gl/jUp1ReiAULyHwtL77</t>
  </si>
  <si>
    <t>الطرق الداخليه لمنطقة سيمو 1 (مرحله أولى)</t>
  </si>
  <si>
    <t>https://maps.app.goo.gl/2eeVV65s35ppvpVcA</t>
  </si>
  <si>
    <t>طرق بوينا اسبيرانزا 2 (سامباكا)</t>
  </si>
  <si>
    <t>https://maps.app.goo.gl/kfGpCoCrskAoyofYA</t>
  </si>
  <si>
    <t>مشروع إعادة تاهيل طريق ريبولا كوبيه</t>
  </si>
  <si>
    <t>https://maps.app.goo.gl/yjEJ63ejQAX9WW4U7</t>
  </si>
  <si>
    <t>مشروع التطوير الحضري ل 3 قرى (ميلونج-اوفينج-نفوم)</t>
  </si>
  <si>
    <t>مشروع الطرق الداخليه لمدينة كوجو 1 ومدينة كوجو 2</t>
  </si>
  <si>
    <t>https://maps.app.goo.gl/ft5xpRiB7n25NJtM7</t>
  </si>
  <si>
    <t>مشروع انشاء اسوار بمنطقة مالابو</t>
  </si>
  <si>
    <t>مشروع انشاء طريق السجن شديد الحراسه</t>
  </si>
  <si>
    <t>https://maps.app.goo.gl/HT2n3c996hnbayXd7</t>
  </si>
  <si>
    <t>مشروع انشاء طريق ايلاسوك-اكاسي</t>
  </si>
  <si>
    <t>https://maps.app.goo.gl/hXJGXZMrLnXKM8GN8</t>
  </si>
  <si>
    <t>مشروع انشاء طريق كوجو 2 بطول 7 كم 2</t>
  </si>
  <si>
    <t>https://maps.app.goo.gl/WoyMfsmm6275MNTS7</t>
  </si>
  <si>
    <t>مشروع انشاء طريق ندونج بيدوا</t>
  </si>
  <si>
    <t>https://maps.app.goo.gl/v1tNUTpcq8y5Da7B6</t>
  </si>
  <si>
    <t>مشروع تشغيل وصيانة محطة تنقية مياه الشرب لمدينة مالابو</t>
  </si>
  <si>
    <t>https://maps.app.goo.gl/hsBwo99vRyJkRnTc7</t>
  </si>
  <si>
    <t>مشروع تطوير الموقع العام بمزرعة ريابا (مرحله ثالثه)</t>
  </si>
  <si>
    <t>https://maps.app.goo.gl/SyF5p1eW5dqV3DrRA</t>
  </si>
  <si>
    <t>مشروع تطوير الموقع العام بمزرعة ريابا (مرحله ثالثه) تعاقد تطهير</t>
  </si>
  <si>
    <t>مشروع تطوير الموقع العام بمزرعة ريابا (مرحله ثانيه)</t>
  </si>
  <si>
    <t>مشروع تطوير الموقع العام بمزرعة ريابا (مرحله خامسه)</t>
  </si>
  <si>
    <t>مشروع تطوير الموقع العام بمزرعة ريابا (مرحله رابعه)</t>
  </si>
  <si>
    <t>مشروع تطوير الموقع العام بمنطقة اليجري</t>
  </si>
  <si>
    <t>https://maps.app.goo.gl/gQ3KHxj8R4wNRCtN9</t>
  </si>
  <si>
    <t>مشروع طرق وكهرباء مدينة امبيني ll</t>
  </si>
  <si>
    <t>https://maps.app.goo.gl/GrFuijbHS4WzaAxYA</t>
  </si>
  <si>
    <t>مشروع طريق داخلي قصر نائب الرئيس بسيبوبو</t>
  </si>
  <si>
    <t>https://maps.app.goo.gl/f42KfE2aP2bcrk3ZA</t>
  </si>
  <si>
    <t>ملحق تعاقد طريق أنجورا - أنجامينا - بلالا بطول 16 كم</t>
  </si>
  <si>
    <t>https://maps.app.goo.gl/yVgjPWkiT3wT3mJdA</t>
  </si>
  <si>
    <t>طريق امبولونجو - كاننجا 77 كم</t>
  </si>
  <si>
    <t>Congo</t>
  </si>
  <si>
    <t>طريق كامويشا -امبولونجو 75 كم</t>
  </si>
  <si>
    <t>تأهيل و تجهيز فرع جامعة الإسكندرية بتونج</t>
  </si>
  <si>
    <t>Sudan</t>
  </si>
  <si>
    <t>Additional Storm system and private parking</t>
  </si>
  <si>
    <t>Tanzania</t>
  </si>
  <si>
    <t>Assembly,erection and installation of remaining steel structure works at the power house and main dam</t>
  </si>
  <si>
    <t>Executing Finishing for Machine Hall - Powerhouse</t>
  </si>
  <si>
    <t>Execution of finishing works for Control building &amp; miscellaneous buildings, Powerhouse</t>
  </si>
  <si>
    <t>Walkway and infrastructure works</t>
  </si>
  <si>
    <t xml:space="preserve">Workmanship and Casting Concrete Services for Third and Fourth Stages Concrete for Turbines Works </t>
  </si>
  <si>
    <t>انشاء سور علي الأرض المخصصة لانشاء مقر بعثة الري المصري بجوبا</t>
  </si>
  <si>
    <t>انشاء و تأهيل محطة قياس المناسيب و التصرفات بمدينة بور</t>
  </si>
  <si>
    <t>اقامة مبني المرافقين (الحرس الجمهوري)</t>
  </si>
  <si>
    <t>Algeria</t>
  </si>
  <si>
    <t>تشطيبات سجن تلمسان لوط 06-07</t>
  </si>
  <si>
    <t>تشطيبات فيلا ريفو المرحلة الثالثة</t>
  </si>
  <si>
    <t>مركز سرطان الأطفال بباب الواد</t>
  </si>
  <si>
    <t>مشروع إنشاء جسر الناصرية ومقترباته / المرحلة الثانية</t>
  </si>
  <si>
    <t>Iraq</t>
  </si>
  <si>
    <t>أعمال انشاء الشوارع الداخلية بمدينه بنجور بطول 10 كم (LOT2)</t>
  </si>
  <si>
    <t>https://maps.app.goo.gl/dnrz66uYcPKj7hoR9</t>
  </si>
  <si>
    <t>مشروع الحماية الشاطئية 3 مواقع</t>
  </si>
  <si>
    <t>Union of the Comoros</t>
  </si>
  <si>
    <t>CONSTRUCTION OF 44KM DUAL CARRIAGEWAY BIDA RING ROAD IN NIGER STATE</t>
  </si>
  <si>
    <t>Nigeria</t>
  </si>
  <si>
    <t>PROVISION OF ENGINEERING INFRASTRUCTURE FOR WUYE DISTRICT - ABUJA</t>
  </si>
  <si>
    <t>REHABILITATION OF ENUGU PORT HARCOURT ROAD</t>
  </si>
  <si>
    <t>REHABILITATION OF GBERIGBE ROAD IN IKORODU L.G.A</t>
  </si>
  <si>
    <t>REHABILITATION OF IKORODU SHAGAMU ROAD IN LAGOS AND OGUN STATE</t>
  </si>
  <si>
    <t>REHABILITATION OF OLD ENUGU-ONITSHA (OPI JUNCTION-UKEHE OKPATU-ABOH UDI-OJI TO ANAMBRA BORDER)-       ENUGU STATE</t>
  </si>
  <si>
    <t>THE CONSTRUCTION OF LOT 3 BIDA TOWNSHIP ROADS IN BIDA, NIGER STATE</t>
  </si>
  <si>
    <t xml:space="preserve">THE FULL SCOPE DEVELOPMENT OF  FCT HIGHWAY 105 (KUJE ROAD) FROM AIRPORT EXPRESSWAY TO KUJE JUNCTION (STAGE I) - ABUJA </t>
  </si>
  <si>
    <t>THE REHABILITATION  OF IBADAN - OYO DUAL CARRIAGEWAY IN OYO STATE</t>
  </si>
  <si>
    <t>مشروع توسعة ميناء بونجوما</t>
  </si>
  <si>
    <t>مشروع طريق (اوزيو - اوسايو-باندا) بطول 6 كم</t>
  </si>
  <si>
    <t>مشروع الطرق الدخلية لمدينتي باليسا و كومي بطول 20 كم</t>
  </si>
  <si>
    <t>Uganda</t>
  </si>
  <si>
    <t>مشروع جامعة الأغاخان</t>
  </si>
  <si>
    <t>ايكونج بمبيس</t>
  </si>
  <si>
    <t>Cameroon</t>
  </si>
  <si>
    <t>بالمايو سان ماليما لوط 2</t>
  </si>
  <si>
    <t>بوكل ليكييه</t>
  </si>
  <si>
    <t>طريق المدخل الشمالي</t>
  </si>
  <si>
    <t>مشروع اعادة تاهيل طريق اكونولنجا - ايندوم - اوبوت المرحله الاولي قطاع اكونولنجا - ميدان يل (23.20كم )(Akonolinga- endom)</t>
  </si>
  <si>
    <t>ميومسالا 4</t>
  </si>
  <si>
    <t>نكومتو -كاتنجا-فيبى فيلاج</t>
  </si>
  <si>
    <t>تطوير ورفع كفاءة طريق المخيلي بطول 1.8 كم</t>
  </si>
  <si>
    <t>مشروع تطوير وتوسعة طريق عمر المختار الغريقة بطول 16 كم</t>
  </si>
  <si>
    <t>مشروع طريق وادي الكوف</t>
  </si>
  <si>
    <t>مشروع كوبري المركز الطبي</t>
  </si>
  <si>
    <t>مشروع كوبري امساعد</t>
  </si>
  <si>
    <t>مشروع كوبري خروبة</t>
  </si>
  <si>
    <t>إنشاء المبنى الإداري (R+2) بوزارة البنية التحتية التابع لمشروع إنشاء طريق أبشا - أبو غلام_(شركة تشادية)</t>
  </si>
  <si>
    <t>توريد وعمل دالوهات من الخرسانه المسلحه بمشروع إنشاء طريق مونجو – أبوديا بطول (63 كم)_(شركة تشادية)</t>
  </si>
  <si>
    <t xml:space="preserve">Casting the Concrete Wearing surfac, installation of Expansion Joints and Shallow drains for the Permanent Bridge </t>
  </si>
  <si>
    <t>مشروع انشاء محطات صرف صحى عدد 6 محطة</t>
  </si>
  <si>
    <t>تنفيذ الأعمال المدنيه والأعمال الكهروميكانيكيه لمبنى الإستراحه ومبانى محطه الوزن بالإضافه إلى أعمال الدالوهات (42 دالوه) والمجارى المائيه الخرسانيه وأعمال البردورات والأرصفه والتدبيش وأسوار المدارس طبقا للتعاقد الخاص بمشروع إنشاء طريق ابشا - أبو غلام بطول (95 كم)_(شركة تشادية)</t>
  </si>
  <si>
    <t>https://maps.app.goo.gl/cw1xmWWmsnRfQWba7</t>
  </si>
  <si>
    <t>لزوم أعمال صب وتركيب الكانيفوهات مقاسات (60*60) و (100*85) و (100*130) , أعمال نجاره وحداده وصب دالوه (1.5*2.0) بالإضافه إلى أعمال تصنيع وتركيب البردورات بمشروع إعاده تأهيل طريق جلندنج – بونجور بطول ( 83 كم )_(شركة تشادية)</t>
  </si>
  <si>
    <t>https://maps.app.goo.gl/XkhBJVCXxbAT8BUA6</t>
  </si>
  <si>
    <t>Protection of  Powerhouse Cofferdam Work</t>
  </si>
  <si>
    <t>كوبري مخل مدينة درنة القبة</t>
  </si>
  <si>
    <t>مشروع محطة مياة البصرة المرحلة الرابعة P4</t>
  </si>
  <si>
    <t>https://maps.app.goo.gl/nJPnEfsvsaxWr5E49</t>
  </si>
  <si>
    <t>إنشاء وإنـجـاز وصيانة عدد1777 بيت والمباني العامه وأعمال الطبقات السطحيه للأسفلت وأعمال توريد وتركيب كيبلات الضغط المنخفض والمتوسط وأعمال إناره الطرق بالقطاع (BP-3) بمشروع المساكن الميسره</t>
  </si>
  <si>
    <t>https://maps.app.goo.gl/k5CVAz7AgSuvA7Xt9</t>
  </si>
  <si>
    <t>Kuwait</t>
  </si>
  <si>
    <t>اعمال تطوير الطريق الدائرى للمدخل الشمالى ( نكوزوا - كاتنجا ) ( اكاك - سوا ) - بوكل 3</t>
  </si>
  <si>
    <t>Construction of sewer network for B7E are -Bausher catchment</t>
  </si>
  <si>
    <t>Construction of Sewer Network for C5A &amp; C5B Areas in A’seeb Catchment</t>
  </si>
  <si>
    <t xml:space="preserve">مشروع انشاء معهد القلب </t>
  </si>
  <si>
    <t>https://maps.app.goo.gl/c2kqJzCUrfCSksig7?g_st=iwb</t>
  </si>
  <si>
    <t>Construction of Flood Protection Dam in Wadi Al Zyhimi, Wilayat Liwa, North Al Batinah Governorate</t>
  </si>
  <si>
    <t>OF THE CONSTRUCTION OF IKOT EKPENE- BORDER- ABA - OWERRI PHASE II</t>
  </si>
  <si>
    <t>THE REHABILITATION OF OZALLA - AKPUGO - AMAGUNZE - IHUOKPARA - NKOMORO - ISU - ONICHA (ENUGU - ONITSHA) WITH A SPUR TO ONUNWERE, ENUGU STATE</t>
  </si>
  <si>
    <t>أعمال دراسه وتصميم وتنفيذ عدد 2 كوبرى بمدينتى بطحه وبطيحه على مسافه 30 كم من مدينه أبشا_(شركة تشادية)</t>
  </si>
  <si>
    <t>مشروع اعادة تأهيل طريق بولوندو - مبويتي - اكوجا 14 كم</t>
  </si>
  <si>
    <t xml:space="preserve">مشروع إنشاء مجمع سكني بمنطقة بن محمود </t>
  </si>
  <si>
    <t>محطة كهرباء الناضور</t>
  </si>
  <si>
    <t>https://maps.app.goo.gl/h6R7xFVXBjDZxPHR6</t>
  </si>
  <si>
    <t>Design and Build Darul Hedaya Islamic Mosque</t>
  </si>
  <si>
    <t>https://share.google/OsKBOj4IYRGWwYljA</t>
  </si>
  <si>
    <t>Ghana</t>
  </si>
  <si>
    <t xml:space="preserve"> Construction Of Recharge Dam At Wadi Al Maantiya In Wilayat Al Rustaq Al Batinah South Governorate</t>
  </si>
  <si>
    <t>https://maps.app.goo.gl/t4tQvtoAxoHGgC4R9</t>
  </si>
  <si>
    <t>بالمايو سان ماليما لوط 2 (عقد تكميلي)</t>
  </si>
  <si>
    <t>https://www.google.com/maps/place/12%C2%B007'19.2%22N+15%C2%B001'02.0%22E/@12.1220115,15.0146342,1112m/data=!3m2!1e3!4b1!4m4!3m3!8m2!3d12.1220115!4d15.0172091?hl=en&amp;entry=ttu&amp;g_ep=EgoyMDI0MTAyOS4wIKXMDSoASAFQAw%3D%3D</t>
  </si>
  <si>
    <t>https://www.google.com/maps/place/12%C2%B010'06.2%22N+18%C2%B041'51.5%22E/@12.1683788,18.695055,1111m/data=!3m2!1e3!4b1!4m4!3m3!8m2!3d12.1683788!4d18.6976299?hl=en&amp;entry=ttu&amp;g_ep=EgoyMDI0MTAyOS4wIKXMDSoASAFQAw%3D%3D</t>
  </si>
  <si>
    <t>https://www.google.com/maps/dir/Foumbouni,+Comoros/-11.4044271,43.3779161/@-11.8638912,43.4940942,80m/data=!3m1!1e3!4m10!4m9!1m5!1m1!1s0x1898c005e61357e3:0xf71e2a51c44022e9!2m2!1d43.492161!2d-11.8648237!1m1!4e1!3e2?entry=ttu&amp;g_ep=EgoyMDI0MDgyMS4wIKXMDSoASAFQAw%3D%3D</t>
  </si>
  <si>
    <t>THE FULL SCOPE DEVELOPMENT OF ARTERIAL ROAD N1 FROM WUYE DISTRICT TO RING ROAD II WITHIN THE FEDERAL CAPITAL CITY</t>
  </si>
  <si>
    <t>https://www.google.com/maps/place/Boingoma/@-12.2895136,43.7542863,851m/data=!3m1!1e3!4m6!3m5!1s0x18a21d8f0b1a88c9:0x2cbf689db825d491!8m2!3d-12.2901542!4d43.7506254!16s%2Fg%2F11kj8fcr4d?entry=ttu&amp;g_ep=EgoyMDI0MTIxMS4wIKXMDSoJLDEwMjExMjM0SAFQAw%3D%3D</t>
  </si>
  <si>
    <t>https://www.google.com/maps/dir/-11.6543581,43.2650725/-11.4044271,43.3779161/@-11.4045136,43.3776668,55m/data=!3m1!1e3!4m6!4m5!1m1!4e1!1m1!4e1!3e2?entry=ttu&amp;g_ep=EgoyMDI0MDgyMS4wIKXMDSoASAFQAw%3D%3D</t>
  </si>
  <si>
    <t>DUALISATION OF MINNA – BIDA ROAD 27 KM kAKAKPANGI TO BIDA ROAD (CH55+000-CH82+000 ) (LOT 3)</t>
  </si>
  <si>
    <t>مشروع طريق (موفوني بوبوني ) بطول 1.2 كم</t>
  </si>
  <si>
    <t>https://maps.app.goo.gl/8GYH2Pr142zBn2To7</t>
  </si>
  <si>
    <t>مشروع مبنى سكنى مكون من أرضي 4 طوابق</t>
  </si>
  <si>
    <t>ممشروع مبنى سكنى مكون من بدروم وأرضي و5 طوابق (سيح شعيب)</t>
  </si>
  <si>
    <t>مشروع إنشاء محطة معالجة الصرف الصحى بمدينة المرج</t>
  </si>
  <si>
    <t>رفع كفاءة طريق وعبارة الوردية</t>
  </si>
  <si>
    <t>مشروع صيانة وتوسعة طريق القبة رأس هلال بطول 16 كم</t>
  </si>
  <si>
    <t>مشروع إنشاء محطة معالجة الصرف الصحى بمدينة طبرق</t>
  </si>
  <si>
    <t>تنفيذ حلول لتصريف مياه الامطار لمنطقة ابحر الجنوبية - 16987</t>
  </si>
  <si>
    <t>Construction of Kumasi Outer Ring Road (15 km) - Lot 3</t>
  </si>
  <si>
    <t>https://maps.app.goo.gl/tSMDsdthN13LxAWX9?g_st=ic</t>
  </si>
  <si>
    <t>Iganga - Bulopa - Kamuli Road Project (56.3km)</t>
  </si>
  <si>
    <t xml:space="preserve">  أعمال إنشاء طريق أبشا - أم زوير بطول 80 كم </t>
  </si>
  <si>
    <t>https://www.google.com/maps/place/Abéché/@13.9760846,20.9261065,67571m/data=!3m1!1e3!4m6!3m5!1s0x11314472a60a8319:0xf2526dfd44b27605!8m2!3d13.8359124!4d20.8433709!16zL20vMDNjZ2g3?entry=ttu&amp;g_ep=EgoyMDI2MDUwMi4wIKXMDSoASAFQAw%3D%3D</t>
  </si>
  <si>
    <t xml:space="preserve">  أعمال إنشاء طريق جريدا - إريبا بطول 85 كم </t>
  </si>
  <si>
    <t>https://www.google.com/maps/place/Guéréda/@14.5109296,22.0673702,8362m/data=!3m2!1e3!4b1!4m6!3m5!1s0x1134e570ef7f2add:0xdada277458b4ddbc!8m2!3d14.5137301!4d22.0863874!16zL20vMGN3NWhj?entry=ttu&amp;g_ep=EgoyMDI2MDUwMi4wIKXMDSoASAFQAw%3D%3D</t>
  </si>
  <si>
    <t>الأعمال المدنية لتطوير طريق كيينجوجو (كيهــورا) – بويزي – رواموانجا – كاهونجي (68 كم)، وطريق مبــارا – بويزي (38 كم)، بما في ذلك إنشاء 20 كم من الطرق داخل المدن وفق المعايير الإسفلتية</t>
  </si>
  <si>
    <t>https://maps.app.goo.gl/wMuiK3DYnfKTT7SP8</t>
  </si>
  <si>
    <t>https://maps.app.goo.gl/J2yonS1sWczSA8b26</t>
  </si>
  <si>
    <t>https://maps.app.goo.gl/RBuCHfYQh44Md4DQ8</t>
  </si>
  <si>
    <t>https://maps.app.goo.gl/6k1ApdCkTp3Csgbj9</t>
  </si>
  <si>
    <t>https://maps.app.goo.gl/raLpekTRgc74bFT78</t>
  </si>
  <si>
    <t>https://maps.app.goo.gl/hWNCzxbRLQkztg459</t>
  </si>
  <si>
    <t>https://maps.app.goo.gl/kKAJgmhK8hVzAfbc7</t>
  </si>
  <si>
    <t>https://maps.app.goo.gl/KQpkHDUykkdcdqo18</t>
  </si>
  <si>
    <t>https://maps.app.goo.gl/QRvM6UazY2gxtmST6</t>
  </si>
  <si>
    <t>https://maps.app.goo.gl/yEny6WHtTyZmUuk1A?g_st=aw</t>
  </si>
  <si>
    <t>https://maps.app.goo.gl/Ad53EW4BnxAcKYwV9</t>
  </si>
  <si>
    <t>https://maps.app.goo.gl/eWQwQN3x8nBjt4Q87</t>
  </si>
  <si>
    <t>https://maps.app.goo.gl/LJwhCKhpcPDYtGdE7</t>
  </si>
  <si>
    <t>https://maps.app.goo.gl/Wuc9ByDLHSD4tbfq5</t>
  </si>
  <si>
    <t>https://maps.app.goo.gl/YBneMgXSgFXVpsAG7</t>
  </si>
  <si>
    <t>https://maps.app.goo.gl/fSEL7DdtSSMXvpPw7</t>
  </si>
  <si>
    <t>https://maps.app.goo.gl/dz8hY1fb3FT656GV6</t>
  </si>
  <si>
    <t>https://maps.app.goo.gl/yRqp73ZU8PjN9GJA8</t>
  </si>
  <si>
    <t>https://maps.app.goo.gl/EXZmJhS3bZrEtHUy5</t>
  </si>
  <si>
    <t>https://maps.app.goo.gl/13bUw93BWQ4UJcQy7</t>
  </si>
  <si>
    <t>https://maps.app.goo.gl/tFCtRvMgceXnEf927</t>
  </si>
  <si>
    <t>https://www.google.com/maps/place/Nvom,+Equatorial+Guinea/@1.3748346,11.2082897,14.25z/data=!4m6!3m5!1s0x1087244b1c078d1d:0x60313bf5970bbab7!8m2!3d1.3803207!4d11.2268773!16s%2Fg%2F1tg975qr?entry=ttu&amp;g_ep=EgoyMDI2MDcxNS4wIKXMDSoASAFQAw%3D%3D</t>
  </si>
  <si>
    <t>https://www.google.com/maps/place/Antigua+Plaza+de+Toros+de+Guinea+Ecuatorial/@3.7574006,8.7830583,20z/data=!4m14!1m7!3m6!1s0x10669eeea379474f:0xd308ff2f107bd5c3!2sPizza+Place!8m2!3d3.7537035!4d8.776043!16s%2Fg%2F11cn06lmgh!3m5!1s0x10669f77be1de3bd:0xfe6f2da337be0289!8m2!3d3.7570973!4d8.7832149!16s%2Fg%2F11fwh2yxt1?entry=ttu&amp;g_ep=EgoyMDI2MDcxNS4wIKXMDSoASAFQAw%3D%3D</t>
  </si>
  <si>
    <t>https://maps.app.goo.gl/AR9F2nHJYUYPP4cd9?g_st=awbر</t>
  </si>
  <si>
    <t>https://maps.app.goo.gl/AACb8DaKyb8Fqezi8</t>
  </si>
  <si>
    <t>https://maps.app.goo.gl/LAhgEqnp6eu1LbnAA</t>
  </si>
  <si>
    <t>https://maps.app.goo.gl/6NstmsgwBY2sxWpMA?g_st=iw</t>
  </si>
  <si>
    <t>https://maps.app.goo.gl/87m73aGiRvE1CXSdA?g_st=iw</t>
  </si>
  <si>
    <t>https://maps.app.goo.gl/kjAv3m5Z5jYWT2tW8?g_st=iw</t>
  </si>
  <si>
    <t>https://maps.app.goo.gl/jEyLvygqbN2L83eD9</t>
  </si>
  <si>
    <t>https://maps.app.goo.gl/dkbiD1XZ4j78Mstj7</t>
  </si>
  <si>
    <t>https://maps.app.goo.gl/hqdFqSimoWJhfaJm8</t>
  </si>
  <si>
    <t>https://www.google.com/maps/dir/Kihura/Bwizi/Kahunge/@0.4385028,30.1856607,10.25z/data=!4m20!4m19!1m5!1m1!1s0x1763ae0aeb07fd87:0xc225504cd5d86623!2m2!1d30.7333336!2d0.5833333!1m5!1m1!1s0x1762501ebc00226d:0xc9e1ea929d4352a6!2m2!1d30.7166672!2d0.4!1m5!1m1!1s0x1762395f4294227b:0x72201f4f193f8a14!2m2!1d30.43659!2d0.336327!3e0?entry=ttu&amp;g_ep=EgoyMDI2MDgyNi4wIKXMDSoASAFQAw%3D%3D</t>
  </si>
  <si>
    <t>https://maps.app.goo.gl/RCyygUqocw9Len7f7</t>
  </si>
  <si>
    <t>نسبة انقضاء المدة الزمنية</t>
  </si>
  <si>
    <t>BRANCH ID</t>
  </si>
  <si>
    <t>PROJECT NAME</t>
  </si>
  <si>
    <t>إنشاء المبنى الإداري (R+2) بوزارة البنية التحتية التابع لمشروع إنشاء طريق أبشا - أبو غلام</t>
  </si>
  <si>
    <t>تنفيذ الأعمال المدنيه والأعمال الكهروميكانيكيه لمبنى الإستراحه ومبانى محطه الوزن بالإضافه إلى أعمال الدالوهات (42 دالوه) والمجارى المائيه الخرسانيه وأعمال البردورات والأرصفه والتدبيش وأسوار المدارس طبقا للتعاقد الخاص بمشروع إنشاء طريق ابشا - أبو غلام بطول (95 كم)</t>
  </si>
  <si>
    <t>تنفيذ حلول لتصريف مياه الأمطار لمنطقة صاري - 16999</t>
  </si>
  <si>
    <t>مشروع إستكمال قصر خاص بمنطقة المريخ</t>
  </si>
  <si>
    <t>البنود المتجاوزه والبنود الإضافيه والبنود الإختياريه للمرحله الإولى لإنشاء فرع جامعه الإسكندريه</t>
  </si>
  <si>
    <t>Construction of Kumasi Outer Ring Road (15Km) - Lot 1</t>
  </si>
  <si>
    <t>Construction of Kumasi Outer Ring Road (15 km) - Lot 2</t>
  </si>
  <si>
    <t>تنفيذ طرق بوينا اسبيرانزا - مرحلة 2 - طول 10 كم بعرض 8 م</t>
  </si>
  <si>
    <t>اعادة تأهيل طرق راديو باتا 7 كم - طريق حتي امبيني و فندق بانافريقا و ميدان قصر افريقيا و راديو باتا - مرمات طرق بطول 11.7 كم</t>
  </si>
  <si>
    <t>تنفيذ طرق منطقة الكاريبي - مرحلة 2 - طول 1.5 كم</t>
  </si>
  <si>
    <t>اعادة تأهيل و رفع كفاءة طريق ايلانجيما كوبيه - طول 35 كم</t>
  </si>
  <si>
    <t>انشاء مستشفي ريابا - مرحلة 2 (تشمل تكييفات, 2 وحدة سكنية للاطباء, سور, باركينج)</t>
  </si>
  <si>
    <t>انشاء عدد 124 وحدة سكنية و طرق و شبكات مياه و صرف ابوينا اسبيرانزا مرحلة 1</t>
  </si>
  <si>
    <t>Construction Of B3c Water, Sewer &amp; Te Networks Systems Services In Al Khuwair Area 17/2</t>
  </si>
  <si>
    <t>تصميم وتنفيذ كوبرى يتى رقم 9 بمحافظة مسقط</t>
  </si>
  <si>
    <t>LB00</t>
  </si>
  <si>
    <t>SU00</t>
  </si>
  <si>
    <t>CH00</t>
  </si>
  <si>
    <t>AL00</t>
  </si>
  <si>
    <t>GC00</t>
  </si>
  <si>
    <t>SA00</t>
  </si>
  <si>
    <t>KW00</t>
  </si>
  <si>
    <t>IR00</t>
  </si>
  <si>
    <t>OM01</t>
  </si>
  <si>
    <t>LN00</t>
  </si>
  <si>
    <t>QR01</t>
  </si>
  <si>
    <t>CH01</t>
  </si>
  <si>
    <t>KW01</t>
  </si>
  <si>
    <t>TZ01</t>
  </si>
  <si>
    <t>UG01</t>
  </si>
  <si>
    <t>DB01</t>
  </si>
  <si>
    <t>CV01</t>
  </si>
  <si>
    <t>CG01</t>
  </si>
  <si>
    <t>NG01</t>
  </si>
  <si>
    <t>GE01</t>
  </si>
  <si>
    <t>CA01</t>
  </si>
  <si>
    <t>MO01</t>
  </si>
  <si>
    <t>GA01</t>
  </si>
  <si>
    <t>Branch Name</t>
  </si>
  <si>
    <t>فرع ليبيا</t>
  </si>
  <si>
    <t>فرع السودان</t>
  </si>
  <si>
    <t>فرع تشاد</t>
  </si>
  <si>
    <t>فرع الجزائر</t>
  </si>
  <si>
    <t>فرع جزر القمر</t>
  </si>
  <si>
    <t>فرع السعودية</t>
  </si>
  <si>
    <t>فرع الكويت</t>
  </si>
  <si>
    <t>فرع العراق</t>
  </si>
  <si>
    <t>شركة المقاولون العرب العمانية</t>
  </si>
  <si>
    <t>فرع لبنان</t>
  </si>
  <si>
    <t>شركة المقاولون العرب القطرية</t>
  </si>
  <si>
    <t>شركة المقاولون العرب التشادية</t>
  </si>
  <si>
    <t>شركة المقاولون العرب الكويتية</t>
  </si>
  <si>
    <t>شركة المقاولون العرب التنزانية</t>
  </si>
  <si>
    <t>شركة المقاولون العرب الاوغندية</t>
  </si>
  <si>
    <t>شركة المقاولون العرب دبى</t>
  </si>
  <si>
    <t>شركة المقاولون العرب كوت ديفوار (الايفوارية)</t>
  </si>
  <si>
    <t>شركة المقاولون العرب الكونغولية</t>
  </si>
  <si>
    <t>شركة المقاولون العرب النيجيرية</t>
  </si>
  <si>
    <t>شركة المقاولون العرب الغينية</t>
  </si>
  <si>
    <t>شركة المقاولون العرب الكاميرونية</t>
  </si>
  <si>
    <t>شركة المقاولون العرب المغربية</t>
  </si>
  <si>
    <t>شركة المقاولون العرب الغانية</t>
  </si>
  <si>
    <t>اجمالى القيمة التعاقدية
(A)</t>
  </si>
  <si>
    <t>منفذ شامل مستخلص داخلى
(B)</t>
  </si>
  <si>
    <t>منفذ معتمد
(C)</t>
  </si>
  <si>
    <t>اعمال مسدده
(D)</t>
  </si>
  <si>
    <t>سيولة محصلة
(F)</t>
  </si>
  <si>
    <t>الاعمال القابلة للصرف
(H)</t>
  </si>
  <si>
    <t>غير قابلة للصرف
(G)</t>
  </si>
  <si>
    <t>الربحية
(I)</t>
  </si>
  <si>
    <t>الاجور
(J)</t>
  </si>
  <si>
    <t>B/A</t>
  </si>
  <si>
    <t>C/A</t>
  </si>
  <si>
    <t>D/C</t>
  </si>
  <si>
    <t>F/C</t>
  </si>
  <si>
    <t>H/B</t>
  </si>
  <si>
    <t>G/C</t>
  </si>
  <si>
    <t>I/C</t>
  </si>
  <si>
    <t>J/C</t>
  </si>
  <si>
    <t>BOQ هل يوجد مقايسة للمشروع معتمدة</t>
  </si>
  <si>
    <t>ما مدى دقة مقايسة المشروع</t>
  </si>
  <si>
    <t>هل تم اصدار خطاب ضمان الدفعة المقدمة / خطابات ضمان نهائى / وثيقة التأمين</t>
  </si>
  <si>
    <t>فى حالة ثبوت عدم القدرة على البدء هل تم الاجتماع مع العميل خلال 15 يوم من استلام امر الاسناد / خطاب النوايا لعرض المعوقات الموجودة بالمشروع</t>
  </si>
  <si>
    <t>فى حالة ثبوت عدم القدرة على البدء هل تم ارسال خطاب رسمى للعميل موضحا عدم القدر على البدء و متضمنا المعوقات</t>
  </si>
  <si>
    <t>هل تم اعداد برنامج توريدات (خامات / مهمات) مستوفى مراحل الشراء بداية من (طلب الشراء انتهاءا بالتوريد فى الموقع)</t>
  </si>
  <si>
    <t>هل تم إعتماد جميع مهام الكهروميكانيك سواء المحلية أو المستوردة</t>
  </si>
  <si>
    <t>هل تم إعداد برنامج تدفقات نقدية للمشروع وتم مراجعته مع مدير الشئون الفنية والمدير المالي ومدير الإدارة / الفرع</t>
  </si>
  <si>
    <t>ممشروع مبنى سكنى مكون من بدروم وأرضي و5 طوابق (الصفا)</t>
  </si>
  <si>
    <t>الطرق الداخليه لمنطقة سيمو (مرحله ثانيه)</t>
  </si>
  <si>
    <t>Workmanship and Casting Concrete Services for Third and Fourth Stages Concrete for Turbines Works</t>
  </si>
  <si>
    <t>REHABILITATION OF OLD ENUGU-ONITSHA (OPI JUNCTION-UKEHE OKPATU-ABOH UDI-OJI TO ANAMBRA BORDER)- ENUGU STATE</t>
  </si>
  <si>
    <t>THE FULL SCOPE DEVELOPMENT OF FCT HIGHWAY 105 (KUJE ROAD) FROM AIRPORT EXPRESSWAY TO KUJE JUNCTION (STAGE I) - ABUJA</t>
  </si>
  <si>
    <t>THE REHABILITATION OF IBADAN - OYO DUAL CARRIAGEWAY IN OYO STATE</t>
  </si>
  <si>
    <t>Casting the Concrete Wearing surfac, installation of Expansion Joints and Shallow drains for the Permanent Bridge</t>
  </si>
  <si>
    <t>Protection of Powerhouse Cofferdam Work</t>
  </si>
  <si>
    <t>دقة فوق المتوسطة</t>
  </si>
  <si>
    <t>دقيقة للغاية</t>
  </si>
  <si>
    <t>دقة متوسطة</t>
  </si>
  <si>
    <t>غير دقيقة تماما</t>
  </si>
  <si>
    <t>لا يوجد مشاكل تخص القدرة على اليدء</t>
  </si>
  <si>
    <t>مشروع انشاء معهد القلب</t>
  </si>
  <si>
    <t>مشروع إنشاء مجمع سكني بمنطقة بن محمود</t>
  </si>
  <si>
    <t>Construction Of Recharge Dam At Wadi Al Maantiya In Wilayat Al Rustaq Al Batinah South Governorate</t>
  </si>
  <si>
    <t>أعمال إنشاء طريق أبشا - أم زوير بطول 80 كم</t>
  </si>
  <si>
    <t>أعمال إنشاء طريق جريدا - إريبا بطول 85 كم</t>
  </si>
  <si>
    <t>31/7/2026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</si>
</sst>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1" x14ac:knownFonts="1">
    <font>
      <sz val="11"/>
      <color theme="1"/>
      <name val="Calibri"/>
      <family val="2"/>
      <scheme val="minor"/>
    </font>
    <font>
      <sz val="10"/>
      <color rgb="FF000000"/>
      <name val="Calibri"/>
      <scheme val="minor"/>
    </font>
    <font>
      <sz val="10"/>
      <color theme="1"/>
      <name val="Calibri"/>
      <scheme val="minor"/>
    </font>
    <font>
      <sz val="11"/>
      <color theme="1"/>
      <name val="Calibri"/>
      <family val="2"/>
      <scheme val="minor"/>
    </font>
    <font>
      <b/>
      <sz val="10"/>
      <color rgb="FFFF0000"/>
      <name val="Calibri"/>
      <family val="2"/>
      <scheme val="minor"/>
    </font>
    <font>
      <b/>
      <sz val="10"/>
      <color theme="1"/>
      <name val="Calibri"/>
      <family val="2"/>
      <scheme val="minor"/>
    </font>
    <font>
      <b/>
      <u/>
      <sz val="10"/>
      <color rgb="FFFF0000"/>
      <name val="Roboto"/>
    </font>
    <font>
      <b/>
      <sz val="10"/>
      <name val="Calibri"/>
      <family val="2"/>
      <scheme val="minor"/>
    </font>
    <font>
      <b/>
      <sz val="10"/>
      <color rgb="FFFFFFFF"/>
      <name val="Roboto"/>
    </font>
    <font>
      <sz val="10"/>
      <color rgb="FF434343"/>
      <name val="Roboto"/>
    </font>
    <font>
      <sz val="10"/>
      <color theme="1"/>
      <name val="Arial"/>
      <family val="2"/>
    </font>
  </fonts>
  <fills count="8">
    <fill>
      <patternFill patternType="none"/>
    </fill>
    <fill>
      <patternFill patternType="gray125"/>
    </fill>
    <fill>
      <patternFill patternType="solid">
        <fgColor rgb="FFBB463C"/>
        <bgColor rgb="FFBB463C"/>
      </patternFill>
    </fill>
    <fill>
      <patternFill patternType="solid">
        <fgColor rgb="FFFFFFFF"/>
        <bgColor rgb="FFFFFFFF"/>
      </patternFill>
    </fill>
    <fill>
      <patternFill patternType="solid">
        <fgColor rgb="FFF8F9FA"/>
        <bgColor rgb="FFF8F9FA"/>
      </patternFill>
    </fill>
    <fill>
      <patternFill patternType="solid">
        <fgColor rgb="FFBB463C"/>
        <bgColor indexed="64"/>
      </patternFill>
    </fill>
    <fill>
      <patternFill patternType="solid">
        <fgColor rgb="FFFFFFFF"/>
        <bgColor indexed="64"/>
      </patternFill>
    </fill>
    <fill>
      <patternFill patternType="solid">
        <fgColor rgb="FFF8F9FA"/>
        <bgColor indexed="64"/>
      </patternFill>
    </fill>
  </fills>
  <borders count="13">
    <border>
      <left/>
      <right/>
      <top/>
      <bottom/>
      <diagonal/>
    </border>
    <border>
      <left style="thin">
        <color rgb="FFBB463C"/>
      </left>
      <right/>
      <top style="thin">
        <color rgb="FFBB463C"/>
      </top>
      <bottom/>
      <diagonal/>
    </border>
    <border>
      <left style="thin">
        <color rgb="FFBB463C"/>
      </left>
      <right/>
      <top/>
      <bottom/>
      <diagonal/>
    </border>
    <border>
      <left style="thin">
        <color rgb="FFBB463C"/>
      </left>
      <right/>
      <top/>
      <bottom style="thin">
        <color rgb="FFBB463C"/>
      </bottom>
      <diagonal/>
    </border>
    <border>
      <left style="medium">
        <color rgb="FF8C352D"/>
      </left>
      <right style="medium">
        <color rgb="FFBB463C"/>
      </right>
      <top style="medium">
        <color rgb="FF8C352D"/>
      </top>
      <bottom style="medium">
        <color rgb="FF8C352D"/>
      </bottom>
      <diagonal/>
    </border>
    <border>
      <left style="medium">
        <color rgb="FFCCCCCC"/>
      </left>
      <right style="medium">
        <color rgb="FFBB463C"/>
      </right>
      <top style="medium">
        <color rgb="FF8C352D"/>
      </top>
      <bottom style="medium">
        <color rgb="FF8C352D"/>
      </bottom>
      <diagonal/>
    </border>
    <border>
      <left style="medium">
        <color rgb="FF8C352D"/>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8C352D"/>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8C352D"/>
      </left>
      <right style="medium">
        <color rgb="FFFFFFFF"/>
      </right>
      <top style="medium">
        <color rgb="FFCCCCCC"/>
      </top>
      <bottom style="medium">
        <color rgb="FF8C352D"/>
      </bottom>
      <diagonal/>
    </border>
    <border>
      <left style="medium">
        <color rgb="FFCCCCCC"/>
      </left>
      <right style="medium">
        <color rgb="FFFFFFFF"/>
      </right>
      <top style="medium">
        <color rgb="FFCCCCCC"/>
      </top>
      <bottom style="medium">
        <color rgb="FF8C352D"/>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xf numFmtId="9" fontId="3" fillId="0" borderId="0" applyFont="0" applyFill="0" applyBorder="0" applyAlignment="0" applyProtection="0"/>
  </cellStyleXfs>
  <cellXfs count="31">
    <xf numFmtId="0" fontId="0" fillId="0" borderId="0" xfId="0"/>
    <xf numFmtId="0" fontId="1" fillId="0" borderId="0" xfId="1"/>
    <xf numFmtId="0" fontId="2" fillId="0" borderId="0" xfId="1" applyFont="1" applyAlignment="1">
      <alignment vertical="center"/>
    </xf>
    <xf numFmtId="9" fontId="2" fillId="0" borderId="0" xfId="2" applyFont="1" applyAlignment="1">
      <alignment vertical="center"/>
    </xf>
    <xf numFmtId="10" fontId="2" fillId="0" borderId="0" xfId="2" applyNumberFormat="1" applyFont="1" applyAlignment="1">
      <alignment vertical="center"/>
    </xf>
    <xf numFmtId="0" fontId="4" fillId="0" borderId="0" xfId="1" applyFont="1" applyAlignment="1">
      <alignment vertical="center"/>
    </xf>
    <xf numFmtId="164" fontId="4" fillId="0" borderId="0" xfId="1" applyNumberFormat="1" applyFont="1" applyAlignment="1">
      <alignment vertical="center"/>
    </xf>
    <xf numFmtId="0" fontId="5" fillId="3" borderId="2" xfId="1" applyFont="1" applyFill="1" applyBorder="1" applyAlignment="1">
      <alignment horizontal="center" vertical="center"/>
    </xf>
    <xf numFmtId="0" fontId="5" fillId="4" borderId="2" xfId="1" applyFont="1" applyFill="1" applyBorder="1" applyAlignment="1">
      <alignment horizontal="center" vertical="center"/>
    </xf>
    <xf numFmtId="0" fontId="5" fillId="4" borderId="3" xfId="1" applyFont="1" applyFill="1" applyBorder="1" applyAlignment="1">
      <alignment horizontal="center" vertical="center"/>
    </xf>
    <xf numFmtId="0" fontId="6" fillId="0" borderId="0" xfId="1" applyFont="1" applyAlignment="1">
      <alignment vertical="center"/>
    </xf>
    <xf numFmtId="0" fontId="7" fillId="0" borderId="0" xfId="1" applyFont="1" applyAlignment="1">
      <alignment horizontal="center" vertical="center" wrapText="1"/>
    </xf>
    <xf numFmtId="0" fontId="7" fillId="0" borderId="0" xfId="1" applyFont="1" applyAlignment="1">
      <alignment horizontal="center" vertical="center"/>
    </xf>
    <xf numFmtId="0" fontId="7" fillId="2" borderId="1" xfId="1" applyFont="1" applyFill="1" applyBorder="1" applyAlignment="1">
      <alignment horizontal="center" vertical="center"/>
    </xf>
    <xf numFmtId="0" fontId="7" fillId="0" borderId="0" xfId="1" applyFont="1" applyAlignment="1">
      <alignment horizontal="center"/>
    </xf>
    <xf numFmtId="0" fontId="9" fillId="6" borderId="6" xfId="0" applyFont="1" applyFill="1" applyBorder="1" applyAlignment="1">
      <alignment horizontal="right" vertical="center" wrapText="1"/>
    </xf>
    <xf numFmtId="0" fontId="9" fillId="6" borderId="7" xfId="0" applyFont="1" applyFill="1" applyBorder="1" applyAlignment="1">
      <alignment horizontal="right" vertical="center" wrapText="1"/>
    </xf>
    <xf numFmtId="0" fontId="9" fillId="6" borderId="7" xfId="0" applyFont="1" applyFill="1" applyBorder="1" applyAlignment="1">
      <alignment vertical="center" wrapText="1"/>
    </xf>
    <xf numFmtId="0" fontId="10" fillId="6" borderId="7" xfId="0" applyFont="1" applyFill="1" applyBorder="1" applyAlignment="1">
      <alignment vertical="center" wrapText="1"/>
    </xf>
    <xf numFmtId="0" fontId="9" fillId="7" borderId="8" xfId="0" applyFont="1" applyFill="1" applyBorder="1" applyAlignment="1">
      <alignment horizontal="right" vertical="center" wrapText="1"/>
    </xf>
    <xf numFmtId="0" fontId="9" fillId="7" borderId="9" xfId="0" applyFont="1" applyFill="1" applyBorder="1" applyAlignment="1">
      <alignment horizontal="right" vertical="center" wrapText="1"/>
    </xf>
    <xf numFmtId="0" fontId="9" fillId="7" borderId="9" xfId="0" applyFont="1" applyFill="1" applyBorder="1" applyAlignment="1">
      <alignment vertical="center" wrapText="1"/>
    </xf>
    <xf numFmtId="0" fontId="10" fillId="7" borderId="9" xfId="0" applyFont="1" applyFill="1" applyBorder="1" applyAlignment="1">
      <alignment vertical="center" wrapText="1"/>
    </xf>
    <xf numFmtId="0" fontId="9" fillId="6" borderId="10" xfId="0" applyFont="1" applyFill="1" applyBorder="1" applyAlignment="1">
      <alignment horizontal="right" vertical="center" wrapText="1"/>
    </xf>
    <xf numFmtId="0" fontId="9" fillId="6" borderId="11" xfId="0" applyFont="1" applyFill="1" applyBorder="1" applyAlignment="1">
      <alignment horizontal="right" vertical="center" wrapText="1"/>
    </xf>
    <xf numFmtId="0" fontId="9" fillId="6" borderId="11" xfId="0" applyFont="1" applyFill="1" applyBorder="1" applyAlignment="1">
      <alignment vertical="center" wrapText="1"/>
    </xf>
    <xf numFmtId="0" fontId="10" fillId="6" borderId="11" xfId="0" applyFont="1" applyFill="1" applyBorder="1" applyAlignment="1">
      <alignment vertical="center" wrapText="1"/>
    </xf>
    <xf numFmtId="0" fontId="10" fillId="0" borderId="12" xfId="0" applyFont="1" applyBorder="1" applyAlignment="1">
      <alignment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0" fillId="0" borderId="0" xfId="0" applyAlignment="1">
      <alignment horizontal="center" vertical="center"/>
    </xf>
  </cellXfs>
  <cellStyles count="3">
    <cellStyle name="Normal" xfId="0" builtinId="0"/>
    <cellStyle name="Normal 2" xfId="1" xr:uid="{F09FAADA-5CB6-4276-8D7F-5742BA772552}"/>
    <cellStyle name="Percent" xfId="2" builtinId="5"/>
  </cellStyles>
  <dxfs count="32">
    <dxf>
      <font>
        <b val="0"/>
        <i val="0"/>
        <strike val="0"/>
        <condense val="0"/>
        <extend val="0"/>
        <outline val="0"/>
        <shadow val="0"/>
        <u val="none"/>
        <vertAlign val="baseline"/>
        <sz val="10"/>
        <color theme="1"/>
        <name val="Calibri"/>
        <scheme val="minor"/>
      </font>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numFmt numFmtId="164" formatCode="dd/mm/yyyy;@"/>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numFmt numFmtId="164" formatCode="dd/mm/yyyy;@"/>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strike val="0"/>
        <outline val="0"/>
        <shadow val="0"/>
        <u val="none"/>
        <vertAlign val="baseline"/>
        <sz val="10"/>
        <color rgb="FFFF0000"/>
        <name val="Calibri"/>
        <scheme val="minor"/>
      </font>
    </dxf>
    <dxf>
      <font>
        <b/>
        <strike val="0"/>
        <outline val="0"/>
        <shadow val="0"/>
        <vertAlign val="baseline"/>
        <sz val="10"/>
        <color rgb="FFFF0000"/>
      </font>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numFmt numFmtId="164" formatCode="dd/mm/yyyy;@"/>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alignment horizontal="general" vertical="center" textRotation="0" wrapText="0" indent="0" justifyLastLine="0" shrinkToFit="0" readingOrder="0"/>
    </dxf>
    <dxf>
      <font>
        <b/>
        <strike val="0"/>
        <outline val="0"/>
        <shadow val="0"/>
        <u val="none"/>
        <vertAlign val="baseline"/>
        <sz val="10"/>
        <color auto="1"/>
        <name val="Calibri"/>
        <scheme val="minor"/>
      </font>
      <alignment horizontal="center" textRotation="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BB463C"/>
          <bgColor rgb="FFBB463C"/>
        </patternFill>
      </fill>
    </dxf>
    <dxf>
      <border>
        <left style="thin">
          <color rgb="FFBB463C"/>
        </left>
        <right style="thin">
          <color rgb="FFBB463C"/>
        </right>
        <top style="thin">
          <color rgb="FFBB463C"/>
        </top>
        <bottom style="thin">
          <color rgb="FFBB463C"/>
        </bottom>
      </border>
    </dxf>
  </dxfs>
  <tableStyles count="1" defaultTableStyle="TableStyleMedium2" defaultPivotStyle="PivotStyleLight16">
    <tableStyle name="PROJECT BACK HECTORY-style" pivot="0" count="4" xr9:uid="{A6E8DEB0-8C33-4270-A7AD-5BEA0AF85DEA}">
      <tableStyleElement type="wholeTable" size="0" dxfId="31"/>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932851-3DD3-43F4-92AE-4D6A605BF6A7}" name="Table3" displayName="Table3" ref="A1:D142" totalsRowShown="0">
  <autoFilter ref="A1:D142" xr:uid="{A0932851-3DD3-43F4-92AE-4D6A605BF6A7}"/>
  <tableColumns count="4">
    <tableColumn id="1" xr3:uid="{1621A316-9DF7-407D-B994-26A039B323B3}" name="BRANCH ID"/>
    <tableColumn id="2" xr3:uid="{7CA1CC0D-DB3D-4CAB-8EDA-A9CD7CEB4765}" name="PROJECT ID"/>
    <tableColumn id="3" xr3:uid="{A9BAB3EB-7A32-4F50-94E1-A411731886D1}" name="PROJECT NAME"/>
    <tableColumn id="4" xr3:uid="{FFA0C4B6-FBDA-49FF-96D2-0DCBC59230E5}" name="Branch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24AE82-5D0D-47F7-893B-2440F5A67A6C}" name="P_FACT" displayName="P_FACT" ref="B1:AB91" headerRowDxfId="27">
  <autoFilter ref="B1:AB91" xr:uid="{00000000-0009-0000-0100-000005000000}"/>
  <sortState xmlns:xlrd2="http://schemas.microsoft.com/office/spreadsheetml/2017/richdata2" ref="B2:AB91">
    <sortCondition descending="1" ref="D1:D91"/>
  </sortState>
  <tableColumns count="27">
    <tableColumn id="1" xr3:uid="{BA047F9B-8B86-43CD-BCB5-26CBB10A60A4}" name="PROJECT ID" dataDxfId="26" dataCellStyle="Normal 2"/>
    <tableColumn id="54" xr3:uid="{07E9DFFA-2763-4ECD-8FE2-23C6C4D22438}" name="الدولة" dataDxfId="25" dataCellStyle="Normal 2"/>
    <tableColumn id="2" xr3:uid="{F0DDACD0-68CF-47F8-84AB-698483E998CB}" name="تاريخ تحديث البيان" dataDxfId="24" dataCellStyle="Normal 2"/>
    <tableColumn id="3" xr3:uid="{E6E0EEFA-B337-4844-AB82-CC15C4075875}" name="اسم المشروع" dataDxfId="23" dataCellStyle="Normal 2"/>
    <tableColumn id="7" xr3:uid="{3F12B7E2-A0C0-4144-A733-6561BF375D13}" name="GOOGLE MAP موقع المشروع جغرافيا " dataDxfId="22"/>
    <tableColumn id="38" xr3:uid="{6B5DEBBF-E7CC-4FA0-A1B9-B9D03D164DD8}" name="اجمالى القيمة التعاقدية_x000a_(A)" dataDxfId="21"/>
    <tableColumn id="39" xr3:uid="{252DF9CE-F56D-48A5-9A36-E47F4367FDC2}" name="منفذ شامل مستخلص داخلى_x000a_(B)" dataDxfId="20" dataCellStyle="Normal 2"/>
    <tableColumn id="60" xr3:uid="{07CF9FA5-3022-4EAE-82A9-BCDA838DAD5D}" name="B/A" dataDxfId="19" dataCellStyle="Percent">
      <calculatedColumnFormula>P_FACT[[#This Row],[منفذ شامل مستخلص داخلى
(B)]]/P_FACT[[#This Row],[اجمالى القيمة التعاقدية
(A)]]</calculatedColumnFormula>
    </tableColumn>
    <tableColumn id="40" xr3:uid="{BE67A49E-0763-411D-A6B0-79A82B6B05B6}" name="منفذ معتمد_x000a_(C)" dataDxfId="18" dataCellStyle="Normal 2"/>
    <tableColumn id="61" xr3:uid="{DFA3EF42-8CA3-4063-AF8A-8910EBA2A5CB}" name="C/A" dataDxfId="17" dataCellStyle="Percent">
      <calculatedColumnFormula>P_FACT[[#This Row],[منفذ معتمد
(C)]]/P_FACT[[#This Row],[اجمالى القيمة التعاقدية
(A)]]</calculatedColumnFormula>
    </tableColumn>
    <tableColumn id="41" xr3:uid="{2F0519EA-94D1-4627-A5AD-347FA3F5A7DF}" name="اعمال مسدده_x000a_(D)" dataDxfId="16" dataCellStyle="Normal 2"/>
    <tableColumn id="62" xr3:uid="{C1F23F31-43D1-4C81-AAA8-B52C3BF218BF}" name="D/C" dataDxfId="15" dataCellStyle="Percent">
      <calculatedColumnFormula>IF(P_FACT[[#This Row],[منفذ معتمد
(C)]]&gt;0,P_FACT[[#This Row],[اعمال مسدده
(D)]]/P_FACT[[#This Row],[منفذ معتمد
(C)]],0)</calculatedColumnFormula>
    </tableColumn>
    <tableColumn id="42" xr3:uid="{127BCD63-FCB8-4EB3-9F64-4A47C9F3BB31}" name="سيولة محصلة_x000a_(F)" dataDxfId="14" dataCellStyle="Normal 2"/>
    <tableColumn id="63" xr3:uid="{E6A7EC8C-33AC-4CFB-B26A-435EDABC235A}" name="F/C" dataDxfId="13" dataCellStyle="Percent">
      <calculatedColumnFormula>IF(P_FACT[[#This Row],[منفذ معتمد
(C)]]&gt;0,P_FACT[[#This Row],[سيولة محصلة
(F)]]/P_FACT[[#This Row],[منفذ معتمد
(C)]],0)</calculatedColumnFormula>
    </tableColumn>
    <tableColumn id="43" xr3:uid="{13128391-5E50-412F-9C2D-5ACBD78AD9B9}" name="الاعمال القابلة للصرف_x000a_(H)" dataDxfId="12" dataCellStyle="Normal 2"/>
    <tableColumn id="64" xr3:uid="{7046934E-7357-4DBD-9A22-ECECF82BD8D5}" name="H/B" dataDxfId="11" dataCellStyle="Percent">
      <calculatedColumnFormula>IF(P_FACT[[#This Row],[منفذ شامل مستخلص داخلى
(B)]]&gt;0,P_FACT[[#This Row],[الاعمال القابلة للصرف
(H)]]/P_FACT[[#This Row],[منفذ شامل مستخلص داخلى
(B)]],0)</calculatedColumnFormula>
    </tableColumn>
    <tableColumn id="44" xr3:uid="{B17800B0-4D44-4E0D-AA83-69787765CDA0}" name="غير قابلة للصرف_x000a_(G)" dataDxfId="10" dataCellStyle="Normal 2"/>
    <tableColumn id="65" xr3:uid="{14C39445-664C-480C-A9D0-EEF513BC3FFD}" name="G/C" dataDxfId="9" dataCellStyle="Percent">
      <calculatedColumnFormula>IF(P_FACT[[#This Row],[منفذ معتمد
(C)]]&gt;0,P_FACT[[#This Row],[غير قابلة للصرف
(G)]]/P_FACT[[#This Row],[منفذ معتمد
(C)]],0)</calculatedColumnFormula>
    </tableColumn>
    <tableColumn id="45" xr3:uid="{EAF6CE84-CA47-4FA3-A939-29E42AB151AD}" name="الربحية_x000a_(I)" dataDxfId="8" dataCellStyle="Normal 2"/>
    <tableColumn id="66" xr3:uid="{70C9894F-7ED4-4F2F-94F1-2320C92F5C99}" name="I/C" dataDxfId="7" dataCellStyle="Percent">
      <calculatedColumnFormula>IF(P_FACT[[#This Row],[منفذ معتمد
(C)]]&gt;0,P_FACT[[#This Row],[الربحية
(I)]]/P_FACT[[#This Row],[منفذ معتمد
(C)]],0)</calculatedColumnFormula>
    </tableColumn>
    <tableColumn id="46" xr3:uid="{984B3C85-F49F-4892-AB9E-69D62F1ED490}" name="الاجور_x000a_(J)" dataDxfId="6" dataCellStyle="Normal 2"/>
    <tableColumn id="67" xr3:uid="{887A11D4-CC95-40F9-9069-C14047D8982E}" name="J/C" dataDxfId="5" dataCellStyle="Percent">
      <calculatedColumnFormula>IF(P_FACT[[#This Row],[منفذ معتمد
(C)]]&gt;0,P_FACT[[#This Row],[الاجور
(J)]]/P_FACT[[#This Row],[منفذ معتمد
(C)]],0)</calculatedColumnFormula>
    </tableColumn>
    <tableColumn id="31" xr3:uid="{A43FA9CA-731A-47FC-BB29-0D858AAD95FF}" name="تاريخ بدء المشروع التعاقدى" dataDxfId="4" dataCellStyle="Normal 2"/>
    <tableColumn id="34" xr3:uid="{AC7FCDF7-766E-4232-AC29-5FDCDF51DBDA}" name="تاريخ نهو المشروع المعدل شامل مد مدة الزمنى" dataDxfId="3" dataCellStyle="Normal 2"/>
    <tableColumn id="49" xr3:uid="{080212EA-F793-441E-B484-43BA867DF0A0}" name="اجمالى المدة الزمنية المعتمدة" dataDxfId="2" dataCellStyle="Normal 2">
      <calculatedColumnFormula>P_FACT[[#This Row],[تاريخ نهو المشروع المعدل شامل مد مدة الزمنى]]-P_FACT[[#This Row],[تاريخ بدء المشروع التعاقدى]]</calculatedColumnFormula>
    </tableColumn>
    <tableColumn id="53" xr3:uid="{DF8A8824-FB1D-4221-971E-6771A2F00AB7}" name="المدة المنقضبة" dataDxfId="1" dataCellStyle="Normal 2">
      <calculatedColumnFormula>P_FACT[[#This Row],[تاريخ نهو المشروع المعدل شامل مد مدة الزمنى]]-P_FACT[[#This Row],[تاريخ تحديث البيان]]</calculatedColumnFormula>
    </tableColumn>
    <tableColumn id="59" xr3:uid="{EC61DC66-4826-4016-B201-538700CEAF5D}" name="نسبة انقضاء المدة الزمنية" dataDxfId="0" dataCellStyle="Percent">
      <calculatedColumnFormula>(P_FACT[[#This Row],[اجمالى المدة الزمنية المعتمدة]]-P_FACT[[#This Row],[المدة المنقضبة]])/P_FACT[[#This Row],[اجمالى المدة الزمنية المعتمدة]]</calculatedColumnFormula>
    </tableColumn>
  </tableColumns>
  <tableStyleInfo name="PROJECT BACK HECTORY-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2"/>
  <sheetViews>
    <sheetView workbookViewId="0">
      <selection activeCell="D2" sqref="D2"/>
    </sheetView>
  </sheetViews>
  <sheetFormatPr defaultRowHeight="14.4" x14ac:dyDescent="0.3"/>
  <cols>
    <col min="1" max="1" width="12.33203125" customWidth="1"/>
    <col min="2" max="2" width="12.5546875" customWidth="1"/>
    <col min="3" max="3" width="205.5546875" bestFit="1" customWidth="1"/>
    <col min="4" max="4" width="32.88671875" bestFit="1" customWidth="1"/>
  </cols>
  <sheetData>
    <row r="1" spans="1:4" x14ac:dyDescent="0.3">
      <c r="A1" t="s">
        <v>231</v>
      </c>
      <c r="B1" t="s">
        <v>0</v>
      </c>
      <c r="C1" t="s">
        <v>232</v>
      </c>
      <c r="D1" t="s">
        <v>271</v>
      </c>
    </row>
    <row r="2" spans="1:4" x14ac:dyDescent="0.3">
      <c r="A2" t="s">
        <v>248</v>
      </c>
      <c r="B2">
        <v>1001</v>
      </c>
      <c r="C2" t="s">
        <v>132</v>
      </c>
      <c r="D2" t="s">
        <v>272</v>
      </c>
    </row>
    <row r="3" spans="1:4" x14ac:dyDescent="0.3">
      <c r="A3" t="s">
        <v>248</v>
      </c>
      <c r="B3">
        <v>1002</v>
      </c>
      <c r="C3" t="s">
        <v>147</v>
      </c>
      <c r="D3" t="s">
        <v>272</v>
      </c>
    </row>
    <row r="4" spans="1:4" x14ac:dyDescent="0.3">
      <c r="A4" t="s">
        <v>248</v>
      </c>
      <c r="B4">
        <v>1003</v>
      </c>
      <c r="C4" t="s">
        <v>22</v>
      </c>
      <c r="D4" t="s">
        <v>272</v>
      </c>
    </row>
    <row r="5" spans="1:4" x14ac:dyDescent="0.3">
      <c r="A5" t="s">
        <v>248</v>
      </c>
      <c r="B5">
        <v>1004</v>
      </c>
      <c r="C5" t="s">
        <v>136</v>
      </c>
      <c r="D5" t="s">
        <v>272</v>
      </c>
    </row>
    <row r="6" spans="1:4" x14ac:dyDescent="0.3">
      <c r="A6" t="s">
        <v>248</v>
      </c>
      <c r="B6">
        <v>1005</v>
      </c>
      <c r="C6" t="s">
        <v>135</v>
      </c>
      <c r="D6" t="s">
        <v>272</v>
      </c>
    </row>
    <row r="7" spans="1:4" x14ac:dyDescent="0.3">
      <c r="A7" t="s">
        <v>248</v>
      </c>
      <c r="B7">
        <v>1006</v>
      </c>
      <c r="C7" t="s">
        <v>133</v>
      </c>
      <c r="D7" t="s">
        <v>272</v>
      </c>
    </row>
    <row r="8" spans="1:4" x14ac:dyDescent="0.3">
      <c r="A8" t="s">
        <v>248</v>
      </c>
      <c r="B8">
        <v>1007</v>
      </c>
      <c r="C8" t="s">
        <v>137</v>
      </c>
      <c r="D8" t="s">
        <v>272</v>
      </c>
    </row>
    <row r="9" spans="1:4" x14ac:dyDescent="0.3">
      <c r="A9" t="s">
        <v>248</v>
      </c>
      <c r="B9">
        <v>1008</v>
      </c>
      <c r="C9" t="s">
        <v>134</v>
      </c>
      <c r="D9" t="s">
        <v>272</v>
      </c>
    </row>
    <row r="10" spans="1:4" x14ac:dyDescent="0.3">
      <c r="A10" t="s">
        <v>249</v>
      </c>
      <c r="B10">
        <v>1009</v>
      </c>
      <c r="C10" t="s">
        <v>87</v>
      </c>
      <c r="D10" t="s">
        <v>273</v>
      </c>
    </row>
    <row r="11" spans="1:4" x14ac:dyDescent="0.3">
      <c r="A11" t="s">
        <v>249</v>
      </c>
      <c r="B11">
        <v>1010</v>
      </c>
      <c r="C11" t="s">
        <v>96</v>
      </c>
      <c r="D11" t="s">
        <v>273</v>
      </c>
    </row>
    <row r="12" spans="1:4" x14ac:dyDescent="0.3">
      <c r="A12" t="s">
        <v>249</v>
      </c>
      <c r="B12">
        <v>1011</v>
      </c>
      <c r="C12" t="s">
        <v>97</v>
      </c>
      <c r="D12" t="s">
        <v>273</v>
      </c>
    </row>
    <row r="13" spans="1:4" x14ac:dyDescent="0.3">
      <c r="A13" t="s">
        <v>250</v>
      </c>
      <c r="B13">
        <v>1012</v>
      </c>
      <c r="C13" t="s">
        <v>105</v>
      </c>
      <c r="D13" t="s">
        <v>274</v>
      </c>
    </row>
    <row r="14" spans="1:4" x14ac:dyDescent="0.3">
      <c r="A14" t="s">
        <v>250</v>
      </c>
      <c r="B14">
        <v>1013</v>
      </c>
      <c r="C14" t="s">
        <v>24</v>
      </c>
      <c r="D14" t="s">
        <v>274</v>
      </c>
    </row>
    <row r="15" spans="1:4" x14ac:dyDescent="0.3">
      <c r="A15" t="s">
        <v>250</v>
      </c>
      <c r="B15">
        <v>1014</v>
      </c>
      <c r="C15" t="s">
        <v>43</v>
      </c>
      <c r="D15" t="s">
        <v>274</v>
      </c>
    </row>
    <row r="16" spans="1:4" x14ac:dyDescent="0.3">
      <c r="A16" t="s">
        <v>250</v>
      </c>
      <c r="B16">
        <v>1015</v>
      </c>
      <c r="C16" t="s">
        <v>82</v>
      </c>
      <c r="D16" t="s">
        <v>274</v>
      </c>
    </row>
    <row r="17" spans="1:4" x14ac:dyDescent="0.3">
      <c r="A17" t="s">
        <v>250</v>
      </c>
      <c r="B17">
        <v>1016</v>
      </c>
      <c r="C17" t="s">
        <v>39</v>
      </c>
      <c r="D17" t="s">
        <v>274</v>
      </c>
    </row>
    <row r="18" spans="1:4" x14ac:dyDescent="0.3">
      <c r="A18" t="s">
        <v>250</v>
      </c>
      <c r="B18">
        <v>1017</v>
      </c>
      <c r="C18" t="s">
        <v>41</v>
      </c>
      <c r="D18" t="s">
        <v>274</v>
      </c>
    </row>
    <row r="19" spans="1:4" x14ac:dyDescent="0.3">
      <c r="A19" t="s">
        <v>251</v>
      </c>
      <c r="B19">
        <v>1018</v>
      </c>
      <c r="C19" t="s">
        <v>100</v>
      </c>
      <c r="D19" t="s">
        <v>275</v>
      </c>
    </row>
    <row r="20" spans="1:4" x14ac:dyDescent="0.3">
      <c r="A20" t="s">
        <v>251</v>
      </c>
      <c r="B20">
        <v>1019</v>
      </c>
      <c r="C20" t="s">
        <v>101</v>
      </c>
      <c r="D20" t="s">
        <v>275</v>
      </c>
    </row>
    <row r="21" spans="1:4" x14ac:dyDescent="0.3">
      <c r="A21" t="s">
        <v>251</v>
      </c>
      <c r="B21">
        <v>1020</v>
      </c>
      <c r="C21" t="s">
        <v>98</v>
      </c>
      <c r="D21" t="s">
        <v>275</v>
      </c>
    </row>
    <row r="22" spans="1:4" x14ac:dyDescent="0.3">
      <c r="A22" t="s">
        <v>251</v>
      </c>
      <c r="B22">
        <v>1021</v>
      </c>
      <c r="C22" t="s">
        <v>102</v>
      </c>
      <c r="D22" t="s">
        <v>275</v>
      </c>
    </row>
    <row r="23" spans="1:4" x14ac:dyDescent="0.3">
      <c r="A23" t="s">
        <v>252</v>
      </c>
      <c r="B23">
        <v>1022</v>
      </c>
      <c r="C23" t="s">
        <v>119</v>
      </c>
      <c r="D23" t="s">
        <v>276</v>
      </c>
    </row>
    <row r="24" spans="1:4" x14ac:dyDescent="0.3">
      <c r="A24" t="s">
        <v>252</v>
      </c>
      <c r="B24">
        <v>1023</v>
      </c>
      <c r="C24" t="s">
        <v>120</v>
      </c>
      <c r="D24" t="s">
        <v>276</v>
      </c>
    </row>
    <row r="25" spans="1:4" x14ac:dyDescent="0.3">
      <c r="A25" t="s">
        <v>252</v>
      </c>
      <c r="B25">
        <v>1024</v>
      </c>
      <c r="C25" t="s">
        <v>107</v>
      </c>
      <c r="D25" t="s">
        <v>276</v>
      </c>
    </row>
    <row r="26" spans="1:4" x14ac:dyDescent="0.3">
      <c r="A26" t="s">
        <v>253</v>
      </c>
      <c r="B26">
        <v>1025</v>
      </c>
      <c r="C26" t="s">
        <v>29</v>
      </c>
      <c r="D26" t="s">
        <v>277</v>
      </c>
    </row>
    <row r="27" spans="1:4" x14ac:dyDescent="0.3">
      <c r="A27" t="s">
        <v>253</v>
      </c>
      <c r="B27">
        <v>1026</v>
      </c>
      <c r="C27" t="s">
        <v>30</v>
      </c>
      <c r="D27" t="s">
        <v>277</v>
      </c>
    </row>
    <row r="28" spans="1:4" x14ac:dyDescent="0.3">
      <c r="A28" t="s">
        <v>253</v>
      </c>
      <c r="B28">
        <v>1027</v>
      </c>
      <c r="C28" t="s">
        <v>31</v>
      </c>
      <c r="D28" t="s">
        <v>277</v>
      </c>
    </row>
    <row r="29" spans="1:4" x14ac:dyDescent="0.3">
      <c r="A29" t="s">
        <v>253</v>
      </c>
      <c r="B29">
        <v>1028</v>
      </c>
      <c r="C29" t="s">
        <v>28</v>
      </c>
      <c r="D29" t="s">
        <v>277</v>
      </c>
    </row>
    <row r="30" spans="1:4" x14ac:dyDescent="0.3">
      <c r="A30" t="s">
        <v>254</v>
      </c>
      <c r="B30">
        <v>1029</v>
      </c>
      <c r="C30" t="s">
        <v>150</v>
      </c>
      <c r="D30" t="s">
        <v>278</v>
      </c>
    </row>
    <row r="31" spans="1:4" x14ac:dyDescent="0.3">
      <c r="A31" t="s">
        <v>255</v>
      </c>
      <c r="B31">
        <v>1030</v>
      </c>
      <c r="C31" t="s">
        <v>103</v>
      </c>
      <c r="D31" t="s">
        <v>279</v>
      </c>
    </row>
    <row r="32" spans="1:4" x14ac:dyDescent="0.3">
      <c r="A32" t="s">
        <v>255</v>
      </c>
      <c r="B32">
        <v>1031</v>
      </c>
      <c r="C32" t="s">
        <v>148</v>
      </c>
      <c r="D32" t="s">
        <v>279</v>
      </c>
    </row>
    <row r="33" spans="1:4" x14ac:dyDescent="0.3">
      <c r="A33" t="s">
        <v>256</v>
      </c>
      <c r="B33">
        <v>1032</v>
      </c>
      <c r="C33" t="s">
        <v>32</v>
      </c>
      <c r="D33" t="s">
        <v>280</v>
      </c>
    </row>
    <row r="34" spans="1:4" x14ac:dyDescent="0.3">
      <c r="A34" t="s">
        <v>257</v>
      </c>
      <c r="B34">
        <v>1033</v>
      </c>
      <c r="C34" t="s">
        <v>20</v>
      </c>
      <c r="D34" t="s">
        <v>281</v>
      </c>
    </row>
    <row r="35" spans="1:4" x14ac:dyDescent="0.3">
      <c r="A35" t="s">
        <v>258</v>
      </c>
      <c r="B35">
        <v>1034</v>
      </c>
      <c r="C35" t="s">
        <v>38</v>
      </c>
      <c r="D35" t="s">
        <v>282</v>
      </c>
    </row>
    <row r="36" spans="1:4" x14ac:dyDescent="0.3">
      <c r="A36" t="s">
        <v>258</v>
      </c>
      <c r="B36">
        <v>1035</v>
      </c>
      <c r="C36" t="s">
        <v>37</v>
      </c>
      <c r="D36" t="s">
        <v>282</v>
      </c>
    </row>
    <row r="37" spans="1:4" x14ac:dyDescent="0.3">
      <c r="A37" t="s">
        <v>258</v>
      </c>
      <c r="B37">
        <v>1036</v>
      </c>
      <c r="C37" t="s">
        <v>36</v>
      </c>
      <c r="D37" t="s">
        <v>282</v>
      </c>
    </row>
    <row r="38" spans="1:4" x14ac:dyDescent="0.3">
      <c r="A38" t="s">
        <v>258</v>
      </c>
      <c r="B38">
        <v>1037</v>
      </c>
      <c r="C38" t="s">
        <v>34</v>
      </c>
      <c r="D38" t="s">
        <v>282</v>
      </c>
    </row>
    <row r="39" spans="1:4" x14ac:dyDescent="0.3">
      <c r="A39" t="s">
        <v>259</v>
      </c>
      <c r="B39">
        <v>1038</v>
      </c>
      <c r="C39" t="s">
        <v>139</v>
      </c>
      <c r="D39" t="s">
        <v>283</v>
      </c>
    </row>
    <row r="40" spans="1:4" x14ac:dyDescent="0.3">
      <c r="A40" t="s">
        <v>260</v>
      </c>
      <c r="B40">
        <v>1039</v>
      </c>
      <c r="C40" t="s">
        <v>233</v>
      </c>
      <c r="D40" t="s">
        <v>284</v>
      </c>
    </row>
    <row r="41" spans="1:4" x14ac:dyDescent="0.3">
      <c r="A41" t="s">
        <v>256</v>
      </c>
      <c r="B41">
        <v>1040</v>
      </c>
      <c r="C41" t="s">
        <v>234</v>
      </c>
      <c r="D41" t="s">
        <v>280</v>
      </c>
    </row>
    <row r="42" spans="1:4" x14ac:dyDescent="0.3">
      <c r="A42" t="s">
        <v>261</v>
      </c>
      <c r="B42">
        <v>1042</v>
      </c>
      <c r="C42" t="s">
        <v>89</v>
      </c>
      <c r="D42" t="s">
        <v>285</v>
      </c>
    </row>
    <row r="43" spans="1:4" x14ac:dyDescent="0.3">
      <c r="A43" t="s">
        <v>261</v>
      </c>
      <c r="B43">
        <v>1043</v>
      </c>
      <c r="C43" t="s">
        <v>94</v>
      </c>
      <c r="D43" t="s">
        <v>285</v>
      </c>
    </row>
    <row r="44" spans="1:4" x14ac:dyDescent="0.3">
      <c r="A44" t="s">
        <v>261</v>
      </c>
      <c r="B44">
        <v>1044</v>
      </c>
      <c r="C44" t="s">
        <v>95</v>
      </c>
      <c r="D44" t="s">
        <v>285</v>
      </c>
    </row>
    <row r="45" spans="1:4" x14ac:dyDescent="0.3">
      <c r="A45" t="s">
        <v>261</v>
      </c>
      <c r="B45">
        <v>1045</v>
      </c>
      <c r="C45" t="s">
        <v>91</v>
      </c>
      <c r="D45" t="s">
        <v>285</v>
      </c>
    </row>
    <row r="46" spans="1:4" x14ac:dyDescent="0.3">
      <c r="A46" t="s">
        <v>261</v>
      </c>
      <c r="B46">
        <v>1046</v>
      </c>
      <c r="C46" t="s">
        <v>92</v>
      </c>
      <c r="D46" t="s">
        <v>285</v>
      </c>
    </row>
    <row r="47" spans="1:4" x14ac:dyDescent="0.3">
      <c r="A47" t="s">
        <v>261</v>
      </c>
      <c r="B47">
        <v>1047</v>
      </c>
      <c r="C47" t="s">
        <v>93</v>
      </c>
      <c r="D47" t="s">
        <v>285</v>
      </c>
    </row>
    <row r="48" spans="1:4" x14ac:dyDescent="0.3">
      <c r="A48" t="s">
        <v>261</v>
      </c>
      <c r="B48">
        <v>1048</v>
      </c>
      <c r="C48" t="s">
        <v>140</v>
      </c>
      <c r="D48" t="s">
        <v>285</v>
      </c>
    </row>
    <row r="49" spans="1:4" x14ac:dyDescent="0.3">
      <c r="A49" t="s">
        <v>261</v>
      </c>
      <c r="B49">
        <v>1049</v>
      </c>
      <c r="C49" t="s">
        <v>146</v>
      </c>
      <c r="D49" t="s">
        <v>285</v>
      </c>
    </row>
    <row r="50" spans="1:4" x14ac:dyDescent="0.3">
      <c r="A50" t="s">
        <v>262</v>
      </c>
      <c r="B50">
        <v>1050</v>
      </c>
      <c r="C50" t="s">
        <v>123</v>
      </c>
      <c r="D50" t="s">
        <v>286</v>
      </c>
    </row>
    <row r="51" spans="1:4" x14ac:dyDescent="0.3">
      <c r="A51" t="s">
        <v>262</v>
      </c>
      <c r="B51">
        <v>1051</v>
      </c>
      <c r="C51" t="s">
        <v>121</v>
      </c>
      <c r="D51" t="s">
        <v>286</v>
      </c>
    </row>
    <row r="52" spans="1:4" x14ac:dyDescent="0.3">
      <c r="A52" t="s">
        <v>263</v>
      </c>
      <c r="B52">
        <v>1052</v>
      </c>
      <c r="C52" t="s">
        <v>14</v>
      </c>
      <c r="D52" t="s">
        <v>287</v>
      </c>
    </row>
    <row r="53" spans="1:4" x14ac:dyDescent="0.3">
      <c r="A53" t="s">
        <v>263</v>
      </c>
      <c r="B53">
        <v>1053</v>
      </c>
      <c r="C53" t="s">
        <v>10</v>
      </c>
      <c r="D53" t="s">
        <v>287</v>
      </c>
    </row>
    <row r="54" spans="1:4" x14ac:dyDescent="0.3">
      <c r="A54" t="s">
        <v>264</v>
      </c>
      <c r="B54">
        <v>1054</v>
      </c>
      <c r="C54" t="s">
        <v>141</v>
      </c>
      <c r="D54" t="s">
        <v>288</v>
      </c>
    </row>
    <row r="55" spans="1:4" x14ac:dyDescent="0.3">
      <c r="A55" t="s">
        <v>265</v>
      </c>
      <c r="B55">
        <v>1055</v>
      </c>
      <c r="C55" t="s">
        <v>86</v>
      </c>
      <c r="D55" t="s">
        <v>289</v>
      </c>
    </row>
    <row r="56" spans="1:4" x14ac:dyDescent="0.3">
      <c r="A56" t="s">
        <v>265</v>
      </c>
      <c r="B56">
        <v>1056</v>
      </c>
      <c r="C56" t="s">
        <v>84</v>
      </c>
      <c r="D56" t="s">
        <v>289</v>
      </c>
    </row>
    <row r="57" spans="1:4" x14ac:dyDescent="0.3">
      <c r="A57" t="s">
        <v>266</v>
      </c>
      <c r="B57">
        <v>1057</v>
      </c>
      <c r="C57" t="s">
        <v>109</v>
      </c>
      <c r="D57" t="s">
        <v>290</v>
      </c>
    </row>
    <row r="58" spans="1:4" x14ac:dyDescent="0.3">
      <c r="A58" t="s">
        <v>266</v>
      </c>
      <c r="B58">
        <v>1058</v>
      </c>
      <c r="C58" t="s">
        <v>116</v>
      </c>
      <c r="D58" t="s">
        <v>290</v>
      </c>
    </row>
    <row r="59" spans="1:4" x14ac:dyDescent="0.3">
      <c r="A59" t="s">
        <v>266</v>
      </c>
      <c r="B59">
        <v>1059</v>
      </c>
      <c r="C59" t="s">
        <v>112</v>
      </c>
      <c r="D59" t="s">
        <v>290</v>
      </c>
    </row>
    <row r="60" spans="1:4" x14ac:dyDescent="0.3">
      <c r="A60" t="s">
        <v>266</v>
      </c>
      <c r="B60">
        <v>1060</v>
      </c>
      <c r="C60" t="s">
        <v>115</v>
      </c>
      <c r="D60" t="s">
        <v>290</v>
      </c>
    </row>
    <row r="61" spans="1:4" x14ac:dyDescent="0.3">
      <c r="A61" t="s">
        <v>266</v>
      </c>
      <c r="B61">
        <v>1061</v>
      </c>
      <c r="C61" t="s">
        <v>118</v>
      </c>
      <c r="D61" t="s">
        <v>290</v>
      </c>
    </row>
    <row r="62" spans="1:4" x14ac:dyDescent="0.3">
      <c r="A62" t="s">
        <v>266</v>
      </c>
      <c r="B62">
        <v>1062</v>
      </c>
      <c r="C62" t="s">
        <v>113</v>
      </c>
      <c r="D62" t="s">
        <v>290</v>
      </c>
    </row>
    <row r="63" spans="1:4" x14ac:dyDescent="0.3">
      <c r="A63" t="s">
        <v>266</v>
      </c>
      <c r="B63">
        <v>1063</v>
      </c>
      <c r="C63" t="s">
        <v>114</v>
      </c>
      <c r="D63" t="s">
        <v>290</v>
      </c>
    </row>
    <row r="64" spans="1:4" x14ac:dyDescent="0.3">
      <c r="A64" t="s">
        <v>266</v>
      </c>
      <c r="B64">
        <v>1064</v>
      </c>
      <c r="C64" t="s">
        <v>117</v>
      </c>
      <c r="D64" t="s">
        <v>290</v>
      </c>
    </row>
    <row r="65" spans="1:4" x14ac:dyDescent="0.3">
      <c r="A65" t="s">
        <v>266</v>
      </c>
      <c r="B65">
        <v>1065</v>
      </c>
      <c r="C65" t="s">
        <v>111</v>
      </c>
      <c r="D65" t="s">
        <v>290</v>
      </c>
    </row>
    <row r="66" spans="1:4" x14ac:dyDescent="0.3">
      <c r="A66" t="s">
        <v>267</v>
      </c>
      <c r="B66">
        <v>1066</v>
      </c>
      <c r="C66" t="s">
        <v>52</v>
      </c>
      <c r="D66" t="s">
        <v>291</v>
      </c>
    </row>
    <row r="67" spans="1:4" x14ac:dyDescent="0.3">
      <c r="A67" t="s">
        <v>267</v>
      </c>
      <c r="B67">
        <v>1067</v>
      </c>
      <c r="C67" t="s">
        <v>50</v>
      </c>
      <c r="D67" t="s">
        <v>291</v>
      </c>
    </row>
    <row r="68" spans="1:4" x14ac:dyDescent="0.3">
      <c r="A68" t="s">
        <v>267</v>
      </c>
      <c r="B68">
        <v>1068</v>
      </c>
      <c r="C68" t="s">
        <v>48</v>
      </c>
      <c r="D68" t="s">
        <v>291</v>
      </c>
    </row>
    <row r="69" spans="1:4" x14ac:dyDescent="0.3">
      <c r="A69" t="s">
        <v>267</v>
      </c>
      <c r="B69">
        <v>1069</v>
      </c>
      <c r="C69" t="s">
        <v>45</v>
      </c>
      <c r="D69" t="s">
        <v>291</v>
      </c>
    </row>
    <row r="70" spans="1:4" x14ac:dyDescent="0.3">
      <c r="A70" t="s">
        <v>267</v>
      </c>
      <c r="B70">
        <v>1070</v>
      </c>
      <c r="C70" t="s">
        <v>73</v>
      </c>
      <c r="D70" t="s">
        <v>291</v>
      </c>
    </row>
    <row r="71" spans="1:4" x14ac:dyDescent="0.3">
      <c r="A71" t="s">
        <v>267</v>
      </c>
      <c r="B71">
        <v>1071</v>
      </c>
      <c r="C71" t="s">
        <v>72</v>
      </c>
      <c r="D71" t="s">
        <v>291</v>
      </c>
    </row>
    <row r="72" spans="1:4" x14ac:dyDescent="0.3">
      <c r="A72" t="s">
        <v>267</v>
      </c>
      <c r="B72">
        <v>1072</v>
      </c>
      <c r="C72" t="s">
        <v>70</v>
      </c>
      <c r="D72" t="s">
        <v>291</v>
      </c>
    </row>
    <row r="73" spans="1:4" x14ac:dyDescent="0.3">
      <c r="A73" t="s">
        <v>267</v>
      </c>
      <c r="B73">
        <v>1073</v>
      </c>
      <c r="C73" t="s">
        <v>75</v>
      </c>
      <c r="D73" t="s">
        <v>291</v>
      </c>
    </row>
    <row r="74" spans="1:4" x14ac:dyDescent="0.3">
      <c r="A74" t="s">
        <v>267</v>
      </c>
      <c r="B74">
        <v>1074</v>
      </c>
      <c r="C74" t="s">
        <v>74</v>
      </c>
      <c r="D74" t="s">
        <v>291</v>
      </c>
    </row>
    <row r="75" spans="1:4" x14ac:dyDescent="0.3">
      <c r="A75" t="s">
        <v>267</v>
      </c>
      <c r="B75">
        <v>1075</v>
      </c>
      <c r="C75" t="s">
        <v>80</v>
      </c>
      <c r="D75" t="s">
        <v>291</v>
      </c>
    </row>
    <row r="76" spans="1:4" x14ac:dyDescent="0.3">
      <c r="A76" t="s">
        <v>267</v>
      </c>
      <c r="B76">
        <v>1076</v>
      </c>
      <c r="C76" t="s">
        <v>76</v>
      </c>
      <c r="D76" t="s">
        <v>291</v>
      </c>
    </row>
    <row r="77" spans="1:4" x14ac:dyDescent="0.3">
      <c r="A77" t="s">
        <v>267</v>
      </c>
      <c r="B77">
        <v>1077</v>
      </c>
      <c r="C77" t="s">
        <v>54</v>
      </c>
      <c r="D77" t="s">
        <v>291</v>
      </c>
    </row>
    <row r="78" spans="1:4" x14ac:dyDescent="0.3">
      <c r="A78" t="s">
        <v>267</v>
      </c>
      <c r="B78">
        <v>1078</v>
      </c>
      <c r="C78" t="s">
        <v>62</v>
      </c>
      <c r="D78" t="s">
        <v>291</v>
      </c>
    </row>
    <row r="79" spans="1:4" x14ac:dyDescent="0.3">
      <c r="A79" t="s">
        <v>267</v>
      </c>
      <c r="B79">
        <v>1079</v>
      </c>
      <c r="C79" t="s">
        <v>78</v>
      </c>
      <c r="D79" t="s">
        <v>291</v>
      </c>
    </row>
    <row r="80" spans="1:4" x14ac:dyDescent="0.3">
      <c r="A80" t="s">
        <v>267</v>
      </c>
      <c r="B80">
        <v>1080</v>
      </c>
      <c r="C80" t="s">
        <v>57</v>
      </c>
      <c r="D80" t="s">
        <v>291</v>
      </c>
    </row>
    <row r="81" spans="1:4" x14ac:dyDescent="0.3">
      <c r="A81" t="s">
        <v>267</v>
      </c>
      <c r="B81">
        <v>1081</v>
      </c>
      <c r="C81" t="s">
        <v>64</v>
      </c>
      <c r="D81" t="s">
        <v>291</v>
      </c>
    </row>
    <row r="82" spans="1:4" x14ac:dyDescent="0.3">
      <c r="A82" t="s">
        <v>267</v>
      </c>
      <c r="B82">
        <v>1082</v>
      </c>
      <c r="C82" t="s">
        <v>66</v>
      </c>
      <c r="D82" t="s">
        <v>291</v>
      </c>
    </row>
    <row r="83" spans="1:4" x14ac:dyDescent="0.3">
      <c r="A83" t="s">
        <v>267</v>
      </c>
      <c r="B83">
        <v>1083</v>
      </c>
      <c r="C83" t="s">
        <v>60</v>
      </c>
      <c r="D83" t="s">
        <v>291</v>
      </c>
    </row>
    <row r="84" spans="1:4" x14ac:dyDescent="0.3">
      <c r="A84" t="s">
        <v>267</v>
      </c>
      <c r="B84">
        <v>1084</v>
      </c>
      <c r="C84" t="s">
        <v>56</v>
      </c>
      <c r="D84" t="s">
        <v>291</v>
      </c>
    </row>
    <row r="85" spans="1:4" x14ac:dyDescent="0.3">
      <c r="A85" t="s">
        <v>267</v>
      </c>
      <c r="B85">
        <v>1085</v>
      </c>
      <c r="C85" t="s">
        <v>59</v>
      </c>
      <c r="D85" t="s">
        <v>291</v>
      </c>
    </row>
    <row r="86" spans="1:4" x14ac:dyDescent="0.3">
      <c r="A86" t="s">
        <v>267</v>
      </c>
      <c r="B86">
        <v>1086</v>
      </c>
      <c r="C86" t="s">
        <v>68</v>
      </c>
      <c r="D86" t="s">
        <v>291</v>
      </c>
    </row>
    <row r="87" spans="1:4" x14ac:dyDescent="0.3">
      <c r="A87" t="s">
        <v>268</v>
      </c>
      <c r="B87">
        <v>1087</v>
      </c>
      <c r="C87" t="s">
        <v>129</v>
      </c>
      <c r="D87" t="s">
        <v>292</v>
      </c>
    </row>
    <row r="88" spans="1:4" x14ac:dyDescent="0.3">
      <c r="A88" t="s">
        <v>268</v>
      </c>
      <c r="B88">
        <v>1088</v>
      </c>
      <c r="C88" t="s">
        <v>127</v>
      </c>
      <c r="D88" t="s">
        <v>292</v>
      </c>
    </row>
    <row r="89" spans="1:4" x14ac:dyDescent="0.3">
      <c r="A89" t="s">
        <v>268</v>
      </c>
      <c r="B89">
        <v>1089</v>
      </c>
      <c r="C89" t="s">
        <v>131</v>
      </c>
      <c r="D89" t="s">
        <v>292</v>
      </c>
    </row>
    <row r="90" spans="1:4" x14ac:dyDescent="0.3">
      <c r="A90" t="s">
        <v>268</v>
      </c>
      <c r="B90">
        <v>1090</v>
      </c>
      <c r="C90" t="s">
        <v>124</v>
      </c>
      <c r="D90" t="s">
        <v>292</v>
      </c>
    </row>
    <row r="91" spans="1:4" x14ac:dyDescent="0.3">
      <c r="A91" t="s">
        <v>268</v>
      </c>
      <c r="B91">
        <v>1091</v>
      </c>
      <c r="C91" t="s">
        <v>126</v>
      </c>
      <c r="D91" t="s">
        <v>292</v>
      </c>
    </row>
    <row r="92" spans="1:4" x14ac:dyDescent="0.3">
      <c r="A92" t="s">
        <v>268</v>
      </c>
      <c r="B92">
        <v>1092</v>
      </c>
      <c r="C92" t="s">
        <v>128</v>
      </c>
      <c r="D92" t="s">
        <v>292</v>
      </c>
    </row>
    <row r="93" spans="1:4" x14ac:dyDescent="0.3">
      <c r="A93" t="s">
        <v>268</v>
      </c>
      <c r="B93">
        <v>1093</v>
      </c>
      <c r="C93" t="s">
        <v>130</v>
      </c>
      <c r="D93" t="s">
        <v>292</v>
      </c>
    </row>
    <row r="94" spans="1:4" x14ac:dyDescent="0.3">
      <c r="A94" t="s">
        <v>269</v>
      </c>
      <c r="B94">
        <v>1094</v>
      </c>
      <c r="C94" t="s">
        <v>16</v>
      </c>
      <c r="D94" t="s">
        <v>293</v>
      </c>
    </row>
    <row r="95" spans="1:4" x14ac:dyDescent="0.3">
      <c r="A95" t="s">
        <v>269</v>
      </c>
      <c r="B95">
        <v>1095</v>
      </c>
      <c r="C95" t="s">
        <v>19</v>
      </c>
      <c r="D95" t="s">
        <v>293</v>
      </c>
    </row>
    <row r="96" spans="1:4" x14ac:dyDescent="0.3">
      <c r="A96" t="s">
        <v>248</v>
      </c>
      <c r="B96">
        <v>1096</v>
      </c>
      <c r="C96" t="s">
        <v>23</v>
      </c>
      <c r="D96" t="s">
        <v>272</v>
      </c>
    </row>
    <row r="97" spans="1:4" x14ac:dyDescent="0.3">
      <c r="A97" t="s">
        <v>268</v>
      </c>
      <c r="B97">
        <v>1097</v>
      </c>
      <c r="C97" t="s">
        <v>153</v>
      </c>
      <c r="D97" t="s">
        <v>292</v>
      </c>
    </row>
    <row r="98" spans="1:4" x14ac:dyDescent="0.3">
      <c r="A98" t="s">
        <v>259</v>
      </c>
      <c r="B98">
        <v>1098</v>
      </c>
      <c r="C98" t="s">
        <v>138</v>
      </c>
      <c r="D98" t="s">
        <v>283</v>
      </c>
    </row>
    <row r="99" spans="1:4" x14ac:dyDescent="0.3">
      <c r="A99" t="s">
        <v>259</v>
      </c>
      <c r="B99">
        <v>1099</v>
      </c>
      <c r="C99" t="s">
        <v>142</v>
      </c>
      <c r="D99" t="s">
        <v>283</v>
      </c>
    </row>
    <row r="100" spans="1:4" x14ac:dyDescent="0.3">
      <c r="A100" t="s">
        <v>259</v>
      </c>
      <c r="B100">
        <v>1100</v>
      </c>
      <c r="C100" t="s">
        <v>144</v>
      </c>
      <c r="D100" t="s">
        <v>283</v>
      </c>
    </row>
    <row r="101" spans="1:4" x14ac:dyDescent="0.3">
      <c r="A101" t="s">
        <v>256</v>
      </c>
      <c r="B101">
        <v>1101</v>
      </c>
      <c r="C101" t="s">
        <v>154</v>
      </c>
      <c r="D101" t="s">
        <v>280</v>
      </c>
    </row>
    <row r="102" spans="1:4" x14ac:dyDescent="0.3">
      <c r="A102" t="s">
        <v>256</v>
      </c>
      <c r="B102">
        <v>1102</v>
      </c>
      <c r="C102" t="s">
        <v>155</v>
      </c>
      <c r="D102" t="s">
        <v>280</v>
      </c>
    </row>
    <row r="103" spans="1:4" x14ac:dyDescent="0.3">
      <c r="A103" t="s">
        <v>256</v>
      </c>
      <c r="B103">
        <v>1103</v>
      </c>
      <c r="C103" t="s">
        <v>158</v>
      </c>
      <c r="D103" t="s">
        <v>280</v>
      </c>
    </row>
    <row r="104" spans="1:4" x14ac:dyDescent="0.3">
      <c r="A104" t="s">
        <v>262</v>
      </c>
      <c r="B104">
        <v>1104</v>
      </c>
      <c r="C104" t="s">
        <v>156</v>
      </c>
      <c r="D104" t="s">
        <v>286</v>
      </c>
    </row>
    <row r="105" spans="1:4" x14ac:dyDescent="0.3">
      <c r="A105" t="s">
        <v>266</v>
      </c>
      <c r="B105">
        <v>1105</v>
      </c>
      <c r="C105" t="s">
        <v>160</v>
      </c>
      <c r="D105" t="s">
        <v>290</v>
      </c>
    </row>
    <row r="106" spans="1:4" x14ac:dyDescent="0.3">
      <c r="A106" t="s">
        <v>266</v>
      </c>
      <c r="B106">
        <v>1106</v>
      </c>
      <c r="C106" t="s">
        <v>159</v>
      </c>
      <c r="D106" t="s">
        <v>290</v>
      </c>
    </row>
    <row r="107" spans="1:4" x14ac:dyDescent="0.3">
      <c r="A107" t="s">
        <v>267</v>
      </c>
      <c r="B107">
        <v>1107</v>
      </c>
      <c r="C107" t="s">
        <v>162</v>
      </c>
      <c r="D107" t="s">
        <v>291</v>
      </c>
    </row>
    <row r="108" spans="1:4" x14ac:dyDescent="0.3">
      <c r="A108" t="s">
        <v>259</v>
      </c>
      <c r="B108">
        <v>1108</v>
      </c>
      <c r="C108" t="s">
        <v>161</v>
      </c>
      <c r="D108" t="s">
        <v>283</v>
      </c>
    </row>
    <row r="109" spans="1:4" x14ac:dyDescent="0.3">
      <c r="A109" t="s">
        <v>258</v>
      </c>
      <c r="B109">
        <v>1109</v>
      </c>
      <c r="C109" t="s">
        <v>163</v>
      </c>
      <c r="D109" t="s">
        <v>282</v>
      </c>
    </row>
    <row r="110" spans="1:4" x14ac:dyDescent="0.3">
      <c r="A110" t="s">
        <v>269</v>
      </c>
      <c r="B110">
        <v>1110</v>
      </c>
      <c r="C110" t="s">
        <v>164</v>
      </c>
      <c r="D110" t="s">
        <v>293</v>
      </c>
    </row>
    <row r="111" spans="1:4" x14ac:dyDescent="0.3">
      <c r="A111" t="s">
        <v>270</v>
      </c>
      <c r="B111">
        <v>1111</v>
      </c>
      <c r="C111" t="s">
        <v>166</v>
      </c>
      <c r="D111" t="s">
        <v>294</v>
      </c>
    </row>
    <row r="112" spans="1:4" x14ac:dyDescent="0.3">
      <c r="A112" t="s">
        <v>268</v>
      </c>
      <c r="B112">
        <v>1112</v>
      </c>
      <c r="C112" t="s">
        <v>171</v>
      </c>
      <c r="D112" t="s">
        <v>292</v>
      </c>
    </row>
    <row r="113" spans="1:4" x14ac:dyDescent="0.3">
      <c r="A113" t="s">
        <v>256</v>
      </c>
      <c r="B113">
        <v>1113</v>
      </c>
      <c r="C113" t="s">
        <v>169</v>
      </c>
      <c r="D113" t="s">
        <v>280</v>
      </c>
    </row>
    <row r="114" spans="1:4" x14ac:dyDescent="0.3">
      <c r="A114" t="s">
        <v>266</v>
      </c>
      <c r="B114">
        <v>1114</v>
      </c>
      <c r="C114" t="s">
        <v>175</v>
      </c>
      <c r="D114" t="s">
        <v>290</v>
      </c>
    </row>
    <row r="115" spans="1:4" x14ac:dyDescent="0.3">
      <c r="A115" t="s">
        <v>266</v>
      </c>
      <c r="B115">
        <v>1115</v>
      </c>
      <c r="C115" t="s">
        <v>178</v>
      </c>
      <c r="D115" t="s">
        <v>290</v>
      </c>
    </row>
    <row r="116" spans="1:4" x14ac:dyDescent="0.3">
      <c r="A116" t="s">
        <v>252</v>
      </c>
      <c r="B116">
        <v>1116</v>
      </c>
      <c r="C116" t="s">
        <v>179</v>
      </c>
      <c r="D116" t="s">
        <v>276</v>
      </c>
    </row>
    <row r="117" spans="1:4" x14ac:dyDescent="0.3">
      <c r="A117" t="s">
        <v>253</v>
      </c>
      <c r="B117">
        <v>1117</v>
      </c>
      <c r="C117" t="s">
        <v>235</v>
      </c>
      <c r="D117" t="s">
        <v>277</v>
      </c>
    </row>
    <row r="118" spans="1:4" x14ac:dyDescent="0.3">
      <c r="A118" t="s">
        <v>263</v>
      </c>
      <c r="B118">
        <v>1118</v>
      </c>
      <c r="C118" t="s">
        <v>182</v>
      </c>
      <c r="D118" t="s">
        <v>287</v>
      </c>
    </row>
    <row r="119" spans="1:4" x14ac:dyDescent="0.3">
      <c r="A119" t="s">
        <v>263</v>
      </c>
      <c r="B119">
        <v>1119</v>
      </c>
      <c r="C119" t="s">
        <v>181</v>
      </c>
      <c r="D119" t="s">
        <v>287</v>
      </c>
    </row>
    <row r="120" spans="1:4" x14ac:dyDescent="0.3">
      <c r="A120" t="s">
        <v>248</v>
      </c>
      <c r="B120">
        <v>1120</v>
      </c>
      <c r="C120" t="s">
        <v>186</v>
      </c>
      <c r="D120" t="s">
        <v>272</v>
      </c>
    </row>
    <row r="121" spans="1:4" x14ac:dyDescent="0.3">
      <c r="A121" t="s">
        <v>248</v>
      </c>
      <c r="B121">
        <v>1121</v>
      </c>
      <c r="C121" t="s">
        <v>184</v>
      </c>
      <c r="D121" t="s">
        <v>272</v>
      </c>
    </row>
    <row r="122" spans="1:4" x14ac:dyDescent="0.3">
      <c r="A122" t="s">
        <v>248</v>
      </c>
      <c r="B122">
        <v>1122</v>
      </c>
      <c r="C122" t="s">
        <v>183</v>
      </c>
      <c r="D122" t="s">
        <v>272</v>
      </c>
    </row>
    <row r="123" spans="1:4" x14ac:dyDescent="0.3">
      <c r="A123" t="s">
        <v>248</v>
      </c>
      <c r="B123">
        <v>1123</v>
      </c>
      <c r="C123" t="s">
        <v>185</v>
      </c>
      <c r="D123" t="s">
        <v>272</v>
      </c>
    </row>
    <row r="124" spans="1:4" x14ac:dyDescent="0.3">
      <c r="A124" t="s">
        <v>262</v>
      </c>
      <c r="B124">
        <v>1124</v>
      </c>
      <c r="C124" t="s">
        <v>190</v>
      </c>
      <c r="D124" t="s">
        <v>286</v>
      </c>
    </row>
    <row r="125" spans="1:4" x14ac:dyDescent="0.3">
      <c r="A125" t="s">
        <v>262</v>
      </c>
      <c r="B125">
        <v>1125</v>
      </c>
      <c r="C125" t="s">
        <v>195</v>
      </c>
      <c r="D125" t="s">
        <v>286</v>
      </c>
    </row>
    <row r="126" spans="1:4" x14ac:dyDescent="0.3">
      <c r="A126" t="s">
        <v>250</v>
      </c>
      <c r="B126">
        <v>1126</v>
      </c>
      <c r="C126" t="s">
        <v>191</v>
      </c>
      <c r="D126" t="s">
        <v>274</v>
      </c>
    </row>
    <row r="127" spans="1:4" x14ac:dyDescent="0.3">
      <c r="A127" t="s">
        <v>250</v>
      </c>
      <c r="B127">
        <v>1127</v>
      </c>
      <c r="C127" t="s">
        <v>193</v>
      </c>
      <c r="D127" t="s">
        <v>274</v>
      </c>
    </row>
    <row r="128" spans="1:4" x14ac:dyDescent="0.3">
      <c r="A128" t="s">
        <v>253</v>
      </c>
      <c r="B128">
        <v>1128</v>
      </c>
      <c r="C128" t="s">
        <v>187</v>
      </c>
      <c r="D128" t="s">
        <v>277</v>
      </c>
    </row>
    <row r="129" spans="1:4" x14ac:dyDescent="0.3">
      <c r="A129" t="s">
        <v>258</v>
      </c>
      <c r="B129">
        <v>1130</v>
      </c>
      <c r="C129" t="s">
        <v>236</v>
      </c>
      <c r="D129" t="s">
        <v>282</v>
      </c>
    </row>
    <row r="130" spans="1:4" x14ac:dyDescent="0.3">
      <c r="A130" t="s">
        <v>259</v>
      </c>
      <c r="B130">
        <v>1131</v>
      </c>
      <c r="C130" t="s">
        <v>237</v>
      </c>
      <c r="D130" t="s">
        <v>283</v>
      </c>
    </row>
    <row r="131" spans="1:4" x14ac:dyDescent="0.3">
      <c r="A131" t="s">
        <v>270</v>
      </c>
      <c r="B131">
        <v>1132</v>
      </c>
      <c r="C131" t="s">
        <v>238</v>
      </c>
      <c r="D131" t="s">
        <v>294</v>
      </c>
    </row>
    <row r="132" spans="1:4" x14ac:dyDescent="0.3">
      <c r="A132" t="s">
        <v>270</v>
      </c>
      <c r="B132">
        <v>1133</v>
      </c>
      <c r="C132" t="s">
        <v>239</v>
      </c>
      <c r="D132" t="s">
        <v>294</v>
      </c>
    </row>
    <row r="133" spans="1:4" x14ac:dyDescent="0.3">
      <c r="A133" t="s">
        <v>270</v>
      </c>
      <c r="B133">
        <v>1134</v>
      </c>
      <c r="C133" t="s">
        <v>188</v>
      </c>
      <c r="D133" t="s">
        <v>294</v>
      </c>
    </row>
    <row r="134" spans="1:4" x14ac:dyDescent="0.3">
      <c r="A134" t="s">
        <v>267</v>
      </c>
      <c r="B134">
        <v>1135</v>
      </c>
      <c r="C134" t="s">
        <v>240</v>
      </c>
      <c r="D134" t="s">
        <v>291</v>
      </c>
    </row>
    <row r="135" spans="1:4" x14ac:dyDescent="0.3">
      <c r="A135" t="s">
        <v>267</v>
      </c>
      <c r="B135">
        <v>1136</v>
      </c>
      <c r="C135" t="s">
        <v>241</v>
      </c>
      <c r="D135" t="s">
        <v>291</v>
      </c>
    </row>
    <row r="136" spans="1:4" x14ac:dyDescent="0.3">
      <c r="A136" t="s">
        <v>267</v>
      </c>
      <c r="B136">
        <v>1137</v>
      </c>
      <c r="C136" t="s">
        <v>242</v>
      </c>
      <c r="D136" t="s">
        <v>291</v>
      </c>
    </row>
    <row r="137" spans="1:4" x14ac:dyDescent="0.3">
      <c r="A137" t="s">
        <v>267</v>
      </c>
      <c r="B137">
        <v>1138</v>
      </c>
      <c r="C137" t="s">
        <v>242</v>
      </c>
      <c r="D137" t="s">
        <v>291</v>
      </c>
    </row>
    <row r="138" spans="1:4" x14ac:dyDescent="0.3">
      <c r="A138" t="s">
        <v>267</v>
      </c>
      <c r="B138">
        <v>1139</v>
      </c>
      <c r="C138" t="s">
        <v>243</v>
      </c>
      <c r="D138" t="s">
        <v>291</v>
      </c>
    </row>
    <row r="139" spans="1:4" x14ac:dyDescent="0.3">
      <c r="A139" t="s">
        <v>267</v>
      </c>
      <c r="B139">
        <v>1140</v>
      </c>
      <c r="C139" t="s">
        <v>244</v>
      </c>
      <c r="D139" t="s">
        <v>291</v>
      </c>
    </row>
    <row r="140" spans="1:4" x14ac:dyDescent="0.3">
      <c r="A140" t="s">
        <v>267</v>
      </c>
      <c r="B140">
        <v>1141</v>
      </c>
      <c r="C140" t="s">
        <v>245</v>
      </c>
      <c r="D140" t="s">
        <v>291</v>
      </c>
    </row>
    <row r="141" spans="1:4" x14ac:dyDescent="0.3">
      <c r="A141" t="s">
        <v>256</v>
      </c>
      <c r="B141">
        <v>1142</v>
      </c>
      <c r="C141" t="s">
        <v>246</v>
      </c>
      <c r="D141" t="s">
        <v>280</v>
      </c>
    </row>
    <row r="142" spans="1:4" x14ac:dyDescent="0.3">
      <c r="A142" t="s">
        <v>256</v>
      </c>
      <c r="B142">
        <v>1143</v>
      </c>
      <c r="C142" t="s">
        <v>247</v>
      </c>
      <c r="D142" t="s">
        <v>280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48D3-C137-41EF-B280-3ED49CFBD0B5}">
  <sheetPr>
    <outlinePr summaryBelow="0" summaryRight="0"/>
  </sheetPr>
  <dimension ref="A1:AB91"/>
  <sheetViews>
    <sheetView workbookViewId="0"/>
  </sheetViews>
  <sheetFormatPr defaultColWidth="12.6640625" defaultRowHeight="15.75" customHeight="1" x14ac:dyDescent="0.3"/>
  <cols>
    <col min="1" max="1" width="21.6640625" style="1" bestFit="1" customWidth="1"/>
    <col min="2" max="2" width="14.6640625" style="1" customWidth="1"/>
    <col min="3" max="3" width="18.33203125" style="1" bestFit="1" customWidth="1"/>
    <col min="4" max="4" width="15.33203125" style="1" customWidth="1"/>
    <col min="5" max="5" width="120.109375" style="1" customWidth="1"/>
    <col min="6" max="6" width="28.33203125" style="1" customWidth="1"/>
    <col min="11" max="11" width="8.33203125" bestFit="1" customWidth="1"/>
    <col min="12" max="12" width="37.44140625" style="1" customWidth="1"/>
    <col min="13" max="13" width="8.33203125" style="1" bestFit="1" customWidth="1"/>
    <col min="14" max="14" width="37.44140625" style="1" customWidth="1"/>
    <col min="15" max="15" width="8.109375" style="1" bestFit="1" customWidth="1"/>
    <col min="16" max="16" width="37.44140625" style="1" customWidth="1"/>
    <col min="17" max="17" width="8.44140625" style="1" bestFit="1" customWidth="1"/>
    <col min="18" max="18" width="37.44140625" style="1" customWidth="1"/>
    <col min="19" max="19" width="8.44140625" style="1" bestFit="1" customWidth="1"/>
    <col min="20" max="20" width="37.44140625" style="1" customWidth="1"/>
    <col min="21" max="21" width="7.6640625" style="1" bestFit="1" customWidth="1"/>
    <col min="22" max="22" width="37.44140625" style="1" customWidth="1"/>
    <col min="23" max="23" width="7.77734375" style="1" bestFit="1" customWidth="1"/>
    <col min="24" max="25" width="37.44140625" style="1" customWidth="1"/>
    <col min="26" max="26" width="20.109375" style="1" customWidth="1"/>
    <col min="27" max="27" width="20.21875" style="1" customWidth="1"/>
    <col min="28" max="28" width="30.33203125" style="1" customWidth="1"/>
    <col min="29" max="32" width="37.44140625" style="1" customWidth="1"/>
    <col min="33" max="16384" width="12.6640625" style="1"/>
  </cols>
  <sheetData>
    <row r="1" spans="1:28" s="14" customFormat="1" ht="41.4" x14ac:dyDescent="0.3">
      <c r="A1" s="13" t="s">
        <v>271</v>
      </c>
      <c r="B1" s="11" t="s">
        <v>0</v>
      </c>
      <c r="C1" s="11" t="s">
        <v>9</v>
      </c>
      <c r="D1" s="11" t="s">
        <v>1</v>
      </c>
      <c r="E1" s="11" t="s">
        <v>2</v>
      </c>
      <c r="F1" s="12" t="s">
        <v>3</v>
      </c>
      <c r="G1" s="11" t="s">
        <v>295</v>
      </c>
      <c r="H1" s="11" t="s">
        <v>296</v>
      </c>
      <c r="I1" s="11" t="s">
        <v>304</v>
      </c>
      <c r="J1" s="11" t="s">
        <v>297</v>
      </c>
      <c r="K1" s="11" t="s">
        <v>305</v>
      </c>
      <c r="L1" s="11" t="s">
        <v>298</v>
      </c>
      <c r="M1" s="11" t="s">
        <v>306</v>
      </c>
      <c r="N1" s="11" t="s">
        <v>299</v>
      </c>
      <c r="O1" s="11" t="s">
        <v>307</v>
      </c>
      <c r="P1" s="11" t="s">
        <v>300</v>
      </c>
      <c r="Q1" s="11" t="s">
        <v>308</v>
      </c>
      <c r="R1" s="11" t="s">
        <v>301</v>
      </c>
      <c r="S1" s="11" t="s">
        <v>309</v>
      </c>
      <c r="T1" s="11" t="s">
        <v>302</v>
      </c>
      <c r="U1" s="11" t="s">
        <v>310</v>
      </c>
      <c r="V1" s="11" t="s">
        <v>303</v>
      </c>
      <c r="W1" s="11" t="s">
        <v>311</v>
      </c>
      <c r="X1" s="11" t="s">
        <v>5</v>
      </c>
      <c r="Y1" s="11" t="s">
        <v>6</v>
      </c>
      <c r="Z1" s="12" t="s">
        <v>7</v>
      </c>
      <c r="AA1" s="12" t="s">
        <v>8</v>
      </c>
      <c r="AB1" s="12" t="s">
        <v>230</v>
      </c>
    </row>
    <row r="2" spans="1:28" ht="22.5" customHeight="1" x14ac:dyDescent="0.3">
      <c r="A2" s="7" t="str" cm="1">
        <f t="array" ref="A2">_xlfn.XLOOKUP(P_FACT[[#This Row],[PROJECT ID]],Table3[PROJECT ID],Sheet1!$D$2:$D$142)</f>
        <v>شركة المقاولون العرب النيجيرية</v>
      </c>
      <c r="B2" s="5">
        <v>1057</v>
      </c>
      <c r="C2" s="5" t="s">
        <v>110</v>
      </c>
      <c r="D2" s="6">
        <v>46234</v>
      </c>
      <c r="E2" s="5" t="s">
        <v>109</v>
      </c>
      <c r="F2" s="10" t="s">
        <v>196</v>
      </c>
      <c r="G2" s="5">
        <v>146092143.35795453</v>
      </c>
      <c r="H2" s="5">
        <v>34686850.488636367</v>
      </c>
      <c r="I2" s="4">
        <f>P_FACT[[#This Row],[منفذ شامل مستخلص داخلى
(B)]]/P_FACT[[#This Row],[اجمالى القيمة التعاقدية
(A)]]</f>
        <v>0.23743132033901884</v>
      </c>
      <c r="J2" s="5">
        <v>32811850.488636363</v>
      </c>
      <c r="K2" s="4">
        <f>P_FACT[[#This Row],[منفذ معتمد
(C)]]/P_FACT[[#This Row],[اجمالى القيمة التعاقدية
(A)]]</f>
        <v>0.22459695459625686</v>
      </c>
      <c r="L2" s="5">
        <v>26147096.121590909</v>
      </c>
      <c r="M2" s="4">
        <f>IF(P_FACT[[#This Row],[منفذ معتمد
(C)]]&gt;0,P_FACT[[#This Row],[اعمال مسدده
(D)]]/P_FACT[[#This Row],[منفذ معتمد
(C)]],0)</f>
        <v>0.79687965574042707</v>
      </c>
      <c r="N2" s="5">
        <v>45371239.532954544</v>
      </c>
      <c r="O2" s="4">
        <f>IF(P_FACT[[#This Row],[منفذ معتمد
(C)]]&gt;0,P_FACT[[#This Row],[سيولة محصلة
(F)]]/P_FACT[[#This Row],[منفذ معتمد
(C)]],0)</f>
        <v>1.3827699095687347</v>
      </c>
      <c r="P2" s="5">
        <v>6664754.3670454547</v>
      </c>
      <c r="Q2" s="4">
        <f>IF(P_FACT[[#This Row],[منفذ شامل مستخلص داخلى
(B)]]&gt;0,P_FACT[[#This Row],[الاعمال القابلة للصرف
(H)]]/P_FACT[[#This Row],[منفذ شامل مستخلص داخلى
(B)]],0)</f>
        <v>0.19214066060073315</v>
      </c>
      <c r="R2" s="5">
        <v>1875000</v>
      </c>
      <c r="S2" s="4">
        <f>IF(P_FACT[[#This Row],[منفذ معتمد
(C)]]&gt;0,P_FACT[[#This Row],[غير قابلة للصرف
(G)]]/P_FACT[[#This Row],[منفذ معتمد
(C)]],0)</f>
        <v>5.7143988287078278E-2</v>
      </c>
      <c r="T2" s="5">
        <v>502093.91363636364</v>
      </c>
      <c r="U2" s="4">
        <f>IF(P_FACT[[#This Row],[منفذ معتمد
(C)]]&gt;0,P_FACT[[#This Row],[الربحية
(I)]]/P_FACT[[#This Row],[منفذ معتمد
(C)]],0)</f>
        <v>1.5302212650586483E-2</v>
      </c>
      <c r="V2" s="5">
        <v>2881628.8840909093</v>
      </c>
      <c r="W2" s="4">
        <f>IF(P_FACT[[#This Row],[منفذ معتمد
(C)]]&gt;0,P_FACT[[#This Row],[الاجور
(J)]]/P_FACT[[#This Row],[منفذ معتمد
(C)]],0)</f>
        <v>8.7822809173438598E-2</v>
      </c>
      <c r="X2" s="6">
        <v>45314</v>
      </c>
      <c r="Y2" s="6">
        <v>46775</v>
      </c>
      <c r="Z2" s="2">
        <f>P_FACT[[#This Row],[تاريخ نهو المشروع المعدل شامل مد مدة الزمنى]]-P_FACT[[#This Row],[تاريخ بدء المشروع التعاقدى]]</f>
        <v>1461</v>
      </c>
      <c r="AA2" s="2">
        <f>P_FACT[[#This Row],[تاريخ نهو المشروع المعدل شامل مد مدة الزمنى]]-P_FACT[[#This Row],[تاريخ تحديث البيان]]</f>
        <v>541</v>
      </c>
      <c r="AB2" s="3">
        <f>(P_FACT[[#This Row],[اجمالى المدة الزمنية المعتمدة]]-P_FACT[[#This Row],[المدة المنقضبة]])/P_FACT[[#This Row],[اجمالى المدة الزمنية المعتمدة]]</f>
        <v>0.62970568104038327</v>
      </c>
    </row>
    <row r="3" spans="1:28" ht="22.5" customHeight="1" x14ac:dyDescent="0.3">
      <c r="A3" s="8" t="str" cm="1">
        <f t="array" ref="A3">_xlfn.XLOOKUP(P_FACT[[#This Row],[PROJECT ID]],Table3[PROJECT ID],Sheet1!$D$2:$D$142)</f>
        <v>شركة المقاولون العرب النيجيرية</v>
      </c>
      <c r="B3" s="5">
        <v>1115</v>
      </c>
      <c r="C3" s="5" t="s">
        <v>110</v>
      </c>
      <c r="D3" s="6">
        <v>46234</v>
      </c>
      <c r="E3" s="5" t="s">
        <v>178</v>
      </c>
      <c r="F3" s="10" t="s">
        <v>197</v>
      </c>
      <c r="G3" s="5">
        <v>37230154.946641557</v>
      </c>
      <c r="H3" s="5">
        <v>7070573.4111738857</v>
      </c>
      <c r="I3" s="4">
        <f>P_FACT[[#This Row],[منفذ شامل مستخلص داخلى
(B)]]/P_FACT[[#This Row],[اجمالى القيمة التعاقدية
(A)]]</f>
        <v>0.18991522923574899</v>
      </c>
      <c r="J3" s="5">
        <v>6568376.298807282</v>
      </c>
      <c r="K3" s="4">
        <f>P_FACT[[#This Row],[منفذ معتمد
(C)]]/P_FACT[[#This Row],[اجمالى القيمة التعاقدية
(A)]]</f>
        <v>0.17642624126117959</v>
      </c>
      <c r="L3" s="5">
        <v>6568294.3402385432</v>
      </c>
      <c r="M3" s="4">
        <f>IF(P_FACT[[#This Row],[منفذ معتمد
(C)]]&gt;0,P_FACT[[#This Row],[اعمال مسدده
(D)]]/P_FACT[[#This Row],[منفذ معتمد
(C)]],0)</f>
        <v>0.99998752224826803</v>
      </c>
      <c r="N3" s="5">
        <v>12580779.791588198</v>
      </c>
      <c r="O3" s="4">
        <f>IF(P_FACT[[#This Row],[منفذ معتمد
(C)]]&gt;0,P_FACT[[#This Row],[سيولة محصلة
(F)]]/P_FACT[[#This Row],[منفذ معتمد
(C)]],0)</f>
        <v>1.9153561274911546</v>
      </c>
      <c r="P3" s="5">
        <v>81.958568738229758</v>
      </c>
      <c r="Q3" s="4">
        <f>IF(P_FACT[[#This Row],[منفذ شامل مستخلص داخلى
(B)]]&gt;0,P_FACT[[#This Row],[الاعمال القابلة للصرف
(H)]]/P_FACT[[#This Row],[منفذ شامل مستخلص داخلى
(B)]],0)</f>
        <v>1.1591502410357218E-5</v>
      </c>
      <c r="R3" s="5">
        <v>502197.11236660392</v>
      </c>
      <c r="S3" s="4">
        <f>IF(P_FACT[[#This Row],[منفذ معتمد
(C)]]&gt;0,P_FACT[[#This Row],[غير قابلة للصرف
(G)]]/P_FACT[[#This Row],[منفذ معتمد
(C)]],0)</f>
        <v>7.6456812082735776E-2</v>
      </c>
      <c r="T3" s="5">
        <v>282822.93596986815</v>
      </c>
      <c r="U3" s="4">
        <f>IF(P_FACT[[#This Row],[منفذ معتمد
(C)]]&gt;0,P_FACT[[#This Row],[الربحية
(I)]]/P_FACT[[#This Row],[منفذ معتمد
(C)]],0)</f>
        <v>4.3058272410675454E-2</v>
      </c>
      <c r="V3" s="5">
        <v>707057.34086629003</v>
      </c>
      <c r="W3" s="4">
        <f>IF(P_FACT[[#This Row],[منفذ معتمد
(C)]]&gt;0,P_FACT[[#This Row],[الاجور
(J)]]/P_FACT[[#This Row],[منفذ معتمد
(C)]],0)</f>
        <v>0.10764568117004517</v>
      </c>
      <c r="X3" s="6">
        <v>45944</v>
      </c>
      <c r="Y3" s="6">
        <v>46674</v>
      </c>
      <c r="Z3" s="2">
        <f>P_FACT[[#This Row],[تاريخ نهو المشروع المعدل شامل مد مدة الزمنى]]-P_FACT[[#This Row],[تاريخ بدء المشروع التعاقدى]]</f>
        <v>730</v>
      </c>
      <c r="AA3" s="2">
        <f>P_FACT[[#This Row],[تاريخ نهو المشروع المعدل شامل مد مدة الزمنى]]-P_FACT[[#This Row],[تاريخ تحديث البيان]]</f>
        <v>440</v>
      </c>
      <c r="AB3" s="3">
        <f>(P_FACT[[#This Row],[اجمالى المدة الزمنية المعتمدة]]-P_FACT[[#This Row],[المدة المنقضبة]])/P_FACT[[#This Row],[اجمالى المدة الزمنية المعتمدة]]</f>
        <v>0.39726027397260272</v>
      </c>
    </row>
    <row r="4" spans="1:28" ht="22.5" customHeight="1" x14ac:dyDescent="0.3">
      <c r="A4" s="7" t="str" cm="1">
        <f t="array" ref="A4">_xlfn.XLOOKUP(P_FACT[[#This Row],[PROJECT ID]],Table3[PROJECT ID],Sheet1!$D$2:$D$142)</f>
        <v>فرع الجزائر</v>
      </c>
      <c r="B4" s="5">
        <v>1018</v>
      </c>
      <c r="C4" s="5" t="s">
        <v>99</v>
      </c>
      <c r="D4" s="6">
        <v>46234</v>
      </c>
      <c r="E4" s="5" t="s">
        <v>100</v>
      </c>
      <c r="F4" s="10" t="s">
        <v>198</v>
      </c>
      <c r="G4" s="5">
        <v>1776202.4</v>
      </c>
      <c r="H4" s="5">
        <v>1631040.8800000001</v>
      </c>
      <c r="I4" s="4">
        <f>P_FACT[[#This Row],[منفذ شامل مستخلص داخلى
(B)]]/P_FACT[[#This Row],[اجمالى القيمة التعاقدية
(A)]]</f>
        <v>0.91827422370333478</v>
      </c>
      <c r="J4" s="5">
        <v>1571152.5270588235</v>
      </c>
      <c r="K4" s="4">
        <f>P_FACT[[#This Row],[منفذ معتمد
(C)]]/P_FACT[[#This Row],[اجمالى القيمة التعاقدية
(A)]]</f>
        <v>0.88455714678621289</v>
      </c>
      <c r="L4" s="5">
        <v>1492594.9</v>
      </c>
      <c r="M4" s="4">
        <f>IF(P_FACT[[#This Row],[منفذ معتمد
(C)]]&gt;0,P_FACT[[#This Row],[اعمال مسدده
(D)]]/P_FACT[[#This Row],[منفذ معتمد
(C)]],0)</f>
        <v>0.94999999955072323</v>
      </c>
      <c r="N4" s="5">
        <v>1492594.9</v>
      </c>
      <c r="O4" s="4">
        <f>IF(P_FACT[[#This Row],[منفذ معتمد
(C)]]&gt;0,P_FACT[[#This Row],[سيولة محصلة
(F)]]/P_FACT[[#This Row],[منفذ معتمد
(C)]],0)</f>
        <v>0.94999999955072323</v>
      </c>
      <c r="P4" s="5">
        <v>78557.626352941181</v>
      </c>
      <c r="Q4" s="4">
        <f>IF(P_FACT[[#This Row],[منفذ شامل مستخلص داخلى
(B)]]&gt;0,P_FACT[[#This Row],[الاعمال القابلة للصرف
(H)]]/P_FACT[[#This Row],[منفذ شامل مستخلص داخلى
(B)]],0)</f>
        <v>4.8164106317765118E-2</v>
      </c>
      <c r="R4" s="5">
        <v>59888.352941176468</v>
      </c>
      <c r="S4" s="4">
        <f>IF(P_FACT[[#This Row],[منفذ معتمد
(C)]]&gt;0,P_FACT[[#This Row],[غير قابلة للصرف
(G)]]/P_FACT[[#This Row],[منفذ معتمد
(C)]],0)</f>
        <v>3.8117465942843029E-2</v>
      </c>
      <c r="T4" s="5">
        <v>-317967.25882352941</v>
      </c>
      <c r="U4" s="4">
        <f>IF(P_FACT[[#This Row],[منفذ معتمد
(C)]]&gt;0,P_FACT[[#This Row],[الربحية
(I)]]/P_FACT[[#This Row],[منفذ معتمد
(C)]],0)</f>
        <v>-0.20237835178151664</v>
      </c>
      <c r="V4" s="5">
        <v>558738.31764705887</v>
      </c>
      <c r="W4" s="4">
        <f>IF(P_FACT[[#This Row],[منفذ معتمد
(C)]]&gt;0,P_FACT[[#This Row],[الاجور
(J)]]/P_FACT[[#This Row],[منفذ معتمد
(C)]],0)</f>
        <v>0.35562321800354391</v>
      </c>
      <c r="X4" s="6">
        <v>41644</v>
      </c>
      <c r="Y4" s="6">
        <v>42900</v>
      </c>
      <c r="Z4" s="2">
        <f>P_FACT[[#This Row],[تاريخ نهو المشروع المعدل شامل مد مدة الزمنى]]-P_FACT[[#This Row],[تاريخ بدء المشروع التعاقدى]]</f>
        <v>1256</v>
      </c>
      <c r="AA4" s="2">
        <f>P_FACT[[#This Row],[تاريخ نهو المشروع المعدل شامل مد مدة الزمنى]]-P_FACT[[#This Row],[تاريخ تحديث البيان]]</f>
        <v>-3334</v>
      </c>
      <c r="AB4" s="3">
        <f>(P_FACT[[#This Row],[اجمالى المدة الزمنية المعتمدة]]-P_FACT[[#This Row],[المدة المنقضبة]])/P_FACT[[#This Row],[اجمالى المدة الزمنية المعتمدة]]</f>
        <v>3.6544585987261144</v>
      </c>
    </row>
    <row r="5" spans="1:28" ht="22.5" customHeight="1" x14ac:dyDescent="0.3">
      <c r="A5" s="8" t="str" cm="1">
        <f t="array" ref="A5">_xlfn.XLOOKUP(P_FACT[[#This Row],[PROJECT ID]],Table3[PROJECT ID],Sheet1!$D$2:$D$142)</f>
        <v>فرع الجزائر</v>
      </c>
      <c r="B5" s="5">
        <v>1020</v>
      </c>
      <c r="C5" s="5" t="s">
        <v>99</v>
      </c>
      <c r="D5" s="6">
        <v>46234</v>
      </c>
      <c r="E5" s="5" t="s">
        <v>98</v>
      </c>
      <c r="F5" s="10" t="s">
        <v>199</v>
      </c>
      <c r="G5" s="5">
        <v>3512183.5866666664</v>
      </c>
      <c r="H5" s="5">
        <v>3399839.2266666666</v>
      </c>
      <c r="I5" s="4">
        <f>P_FACT[[#This Row],[منفذ شامل مستخلص داخلى
(B)]]/P_FACT[[#This Row],[اجمالى القيمة التعاقدية
(A)]]</f>
        <v>0.96801295910996976</v>
      </c>
      <c r="J5" s="5">
        <v>3321471.2266666666</v>
      </c>
      <c r="K5" s="4">
        <f>P_FACT[[#This Row],[منفذ معتمد
(C)]]/P_FACT[[#This Row],[اجمالى القيمة التعاقدية
(A)]]</f>
        <v>0.94569977471451017</v>
      </c>
      <c r="L5" s="5">
        <v>3321471.2266666666</v>
      </c>
      <c r="M5" s="4">
        <f>IF(P_FACT[[#This Row],[منفذ معتمد
(C)]]&gt;0,P_FACT[[#This Row],[اعمال مسدده
(D)]]/P_FACT[[#This Row],[منفذ معتمد
(C)]],0)</f>
        <v>1</v>
      </c>
      <c r="N5" s="5">
        <v>3321471.2266666666</v>
      </c>
      <c r="O5" s="4">
        <f>IF(P_FACT[[#This Row],[منفذ معتمد
(C)]]&gt;0,P_FACT[[#This Row],[سيولة محصلة
(F)]]/P_FACT[[#This Row],[منفذ معتمد
(C)]],0)</f>
        <v>1</v>
      </c>
      <c r="P5" s="5">
        <v>0</v>
      </c>
      <c r="Q5" s="4">
        <f>IF(P_FACT[[#This Row],[منفذ شامل مستخلص داخلى
(B)]]&gt;0,P_FACT[[#This Row],[الاعمال القابلة للصرف
(H)]]/P_FACT[[#This Row],[منفذ شامل مستخلص داخلى
(B)]],0)</f>
        <v>0</v>
      </c>
      <c r="R5" s="5">
        <v>78368</v>
      </c>
      <c r="S5" s="4">
        <f>IF(P_FACT[[#This Row],[منفذ معتمد
(C)]]&gt;0,P_FACT[[#This Row],[غير قابلة للصرف
(G)]]/P_FACT[[#This Row],[منفذ معتمد
(C)]],0)</f>
        <v>2.3594363657531328E-2</v>
      </c>
      <c r="T5" s="5">
        <v>665829.75413333334</v>
      </c>
      <c r="U5" s="4">
        <f>IF(P_FACT[[#This Row],[منفذ معتمد
(C)]]&gt;0,P_FACT[[#This Row],[الربحية
(I)]]/P_FACT[[#This Row],[منفذ معتمد
(C)]],0)</f>
        <v>0.20046229778770086</v>
      </c>
      <c r="V5" s="5">
        <v>0</v>
      </c>
      <c r="W5" s="4">
        <f>IF(P_FACT[[#This Row],[منفذ معتمد
(C)]]&gt;0,P_FACT[[#This Row],[الاجور
(J)]]/P_FACT[[#This Row],[منفذ معتمد
(C)]],0)</f>
        <v>0</v>
      </c>
      <c r="X5" s="6">
        <v>40350</v>
      </c>
      <c r="Y5" s="6">
        <v>41487</v>
      </c>
      <c r="Z5" s="2">
        <f>P_FACT[[#This Row],[تاريخ نهو المشروع المعدل شامل مد مدة الزمنى]]-P_FACT[[#This Row],[تاريخ بدء المشروع التعاقدى]]</f>
        <v>1137</v>
      </c>
      <c r="AA5" s="2">
        <f>P_FACT[[#This Row],[تاريخ نهو المشروع المعدل شامل مد مدة الزمنى]]-P_FACT[[#This Row],[تاريخ تحديث البيان]]</f>
        <v>-4747</v>
      </c>
      <c r="AB5" s="3">
        <f>(P_FACT[[#This Row],[اجمالى المدة الزمنية المعتمدة]]-P_FACT[[#This Row],[المدة المنقضبة]])/P_FACT[[#This Row],[اجمالى المدة الزمنية المعتمدة]]</f>
        <v>5.175021987686895</v>
      </c>
    </row>
    <row r="6" spans="1:28" ht="22.5" customHeight="1" x14ac:dyDescent="0.3">
      <c r="A6" s="7" t="str" cm="1">
        <f t="array" ref="A6">_xlfn.XLOOKUP(P_FACT[[#This Row],[PROJECT ID]],Table3[PROJECT ID],Sheet1!$D$2:$D$142)</f>
        <v>فرع الجزائر</v>
      </c>
      <c r="B6" s="5">
        <v>1019</v>
      </c>
      <c r="C6" s="5" t="s">
        <v>99</v>
      </c>
      <c r="D6" s="6">
        <v>46234</v>
      </c>
      <c r="E6" s="5" t="s">
        <v>101</v>
      </c>
      <c r="F6" s="10" t="s">
        <v>199</v>
      </c>
      <c r="G6" s="5">
        <v>1409557.6533333333</v>
      </c>
      <c r="H6" s="5">
        <v>1401659.5506666666</v>
      </c>
      <c r="I6" s="4">
        <f>P_FACT[[#This Row],[منفذ شامل مستخلص داخلى
(B)]]/P_FACT[[#This Row],[اجمالى القيمة التعاقدية
(A)]]</f>
        <v>0.99439675088990565</v>
      </c>
      <c r="J6" s="5">
        <v>1127493.1901333334</v>
      </c>
      <c r="K6" s="4">
        <f>P_FACT[[#This Row],[منفذ معتمد
(C)]]/P_FACT[[#This Row],[اجمالى القيمة التعاقدية
(A)]]</f>
        <v>0.79989150317266444</v>
      </c>
      <c r="L6" s="5">
        <v>1127493.1901333334</v>
      </c>
      <c r="M6" s="4">
        <f>IF(P_FACT[[#This Row],[منفذ معتمد
(C)]]&gt;0,P_FACT[[#This Row],[اعمال مسدده
(D)]]/P_FACT[[#This Row],[منفذ معتمد
(C)]],0)</f>
        <v>1</v>
      </c>
      <c r="N6" s="5">
        <v>1127493.1901333334</v>
      </c>
      <c r="O6" s="4">
        <f>IF(P_FACT[[#This Row],[منفذ معتمد
(C)]]&gt;0,P_FACT[[#This Row],[سيولة محصلة
(F)]]/P_FACT[[#This Row],[منفذ معتمد
(C)]],0)</f>
        <v>1</v>
      </c>
      <c r="P6" s="5">
        <v>0</v>
      </c>
      <c r="Q6" s="4">
        <f>IF(P_FACT[[#This Row],[منفذ شامل مستخلص داخلى
(B)]]&gt;0,P_FACT[[#This Row],[الاعمال القابلة للصرف
(H)]]/P_FACT[[#This Row],[منفذ شامل مستخلص داخلى
(B)]],0)</f>
        <v>0</v>
      </c>
      <c r="R6" s="5">
        <v>274166.36</v>
      </c>
      <c r="S6" s="4">
        <f>IF(P_FACT[[#This Row],[منفذ معتمد
(C)]]&gt;0,P_FACT[[#This Row],[غير قابلة للصرف
(G)]]/P_FACT[[#This Row],[منفذ معتمد
(C)]],0)</f>
        <v>0.24316453739962546</v>
      </c>
      <c r="T6" s="5">
        <v>255003.30719999998</v>
      </c>
      <c r="U6" s="4">
        <f>IF(P_FACT[[#This Row],[منفذ معتمد
(C)]]&gt;0,P_FACT[[#This Row],[الربحية
(I)]]/P_FACT[[#This Row],[منفذ معتمد
(C)]],0)</f>
        <v>0.22616837904789844</v>
      </c>
      <c r="V6" s="5">
        <v>0</v>
      </c>
      <c r="W6" s="4">
        <f>IF(P_FACT[[#This Row],[منفذ معتمد
(C)]]&gt;0,P_FACT[[#This Row],[الاجور
(J)]]/P_FACT[[#This Row],[منفذ معتمد
(C)]],0)</f>
        <v>0</v>
      </c>
      <c r="X6" s="6">
        <v>40533</v>
      </c>
      <c r="Y6" s="6">
        <v>41257</v>
      </c>
      <c r="Z6" s="2">
        <f>P_FACT[[#This Row],[تاريخ نهو المشروع المعدل شامل مد مدة الزمنى]]-P_FACT[[#This Row],[تاريخ بدء المشروع التعاقدى]]</f>
        <v>724</v>
      </c>
      <c r="AA6" s="2">
        <f>P_FACT[[#This Row],[تاريخ نهو المشروع المعدل شامل مد مدة الزمنى]]-P_FACT[[#This Row],[تاريخ تحديث البيان]]</f>
        <v>-4977</v>
      </c>
      <c r="AB6" s="3">
        <f>(P_FACT[[#This Row],[اجمالى المدة الزمنية المعتمدة]]-P_FACT[[#This Row],[المدة المنقضبة]])/P_FACT[[#This Row],[اجمالى المدة الزمنية المعتمدة]]</f>
        <v>7.874309392265193</v>
      </c>
    </row>
    <row r="7" spans="1:28" ht="22.5" customHeight="1" x14ac:dyDescent="0.3">
      <c r="A7" s="8" t="str" cm="1">
        <f t="array" ref="A7">_xlfn.XLOOKUP(P_FACT[[#This Row],[PROJECT ID]],Table3[PROJECT ID],Sheet1!$D$2:$D$142)</f>
        <v>فرع الجزائر</v>
      </c>
      <c r="B7" s="5">
        <v>1021</v>
      </c>
      <c r="C7" s="5" t="s">
        <v>99</v>
      </c>
      <c r="D7" s="6">
        <v>46234</v>
      </c>
      <c r="E7" s="5" t="s">
        <v>102</v>
      </c>
      <c r="F7" s="10" t="s">
        <v>200</v>
      </c>
      <c r="G7" s="5">
        <v>14913738.886075949</v>
      </c>
      <c r="H7" s="5">
        <v>14613519.240506329</v>
      </c>
      <c r="I7" s="4">
        <f>P_FACT[[#This Row],[منفذ شامل مستخلص داخلى
(B)]]/P_FACT[[#This Row],[اجمالى القيمة التعاقدية
(A)]]</f>
        <v>0.97986959220199854</v>
      </c>
      <c r="J7" s="5">
        <v>12613731.991139241</v>
      </c>
      <c r="K7" s="4">
        <f>P_FACT[[#This Row],[منفذ معتمد
(C)]]/P_FACT[[#This Row],[اجمالى القيمة التعاقدية
(A)]]</f>
        <v>0.84577932384989751</v>
      </c>
      <c r="L7" s="5">
        <v>12613731.991139241</v>
      </c>
      <c r="M7" s="4">
        <f>IF(P_FACT[[#This Row],[منفذ معتمد
(C)]]&gt;0,P_FACT[[#This Row],[اعمال مسدده
(D)]]/P_FACT[[#This Row],[منفذ معتمد
(C)]],0)</f>
        <v>1</v>
      </c>
      <c r="N7" s="5">
        <v>14758066.430379746</v>
      </c>
      <c r="O7" s="4">
        <f>IF(P_FACT[[#This Row],[منفذ معتمد
(C)]]&gt;0,P_FACT[[#This Row],[سيولة محصلة
(F)]]/P_FACT[[#This Row],[منفذ معتمد
(C)]],0)</f>
        <v>1.1700000000592081</v>
      </c>
      <c r="P7" s="5">
        <v>0</v>
      </c>
      <c r="Q7" s="4">
        <f>IF(P_FACT[[#This Row],[منفذ شامل مستخلص داخلى
(B)]]&gt;0,P_FACT[[#This Row],[الاعمال القابلة للصرف
(H)]]/P_FACT[[#This Row],[منفذ شامل مستخلص داخلى
(B)]],0)</f>
        <v>0</v>
      </c>
      <c r="R7" s="5">
        <v>1999787.253164557</v>
      </c>
      <c r="S7" s="4">
        <f>IF(P_FACT[[#This Row],[منفذ معتمد
(C)]]&gt;0,P_FACT[[#This Row],[غير قابلة للصرف
(G)]]/P_FACT[[#This Row],[منفذ معتمد
(C)]],0)</f>
        <v>0.15854049020300623</v>
      </c>
      <c r="T7" s="5">
        <v>266111.09886075946</v>
      </c>
      <c r="U7" s="4">
        <f>IF(P_FACT[[#This Row],[منفذ معتمد
(C)]]&gt;0,P_FACT[[#This Row],[الربحية
(I)]]/P_FACT[[#This Row],[منفذ معتمد
(C)]],0)</f>
        <v>2.1096936184128088E-2</v>
      </c>
      <c r="V7" s="5">
        <v>1494332.4873417721</v>
      </c>
      <c r="W7" s="4">
        <f>IF(P_FACT[[#This Row],[منفذ معتمد
(C)]]&gt;0,P_FACT[[#This Row],[الاجور
(J)]]/P_FACT[[#This Row],[منفذ معتمد
(C)]],0)</f>
        <v>0.11846870445570706</v>
      </c>
      <c r="X7" s="6">
        <v>41534</v>
      </c>
      <c r="Y7" s="6">
        <v>44471</v>
      </c>
      <c r="Z7" s="2">
        <f>P_FACT[[#This Row],[تاريخ نهو المشروع المعدل شامل مد مدة الزمنى]]-P_FACT[[#This Row],[تاريخ بدء المشروع التعاقدى]]</f>
        <v>2937</v>
      </c>
      <c r="AA7" s="2">
        <f>P_FACT[[#This Row],[تاريخ نهو المشروع المعدل شامل مد مدة الزمنى]]-P_FACT[[#This Row],[تاريخ تحديث البيان]]</f>
        <v>-1763</v>
      </c>
      <c r="AB7" s="3">
        <f>(P_FACT[[#This Row],[اجمالى المدة الزمنية المعتمدة]]-P_FACT[[#This Row],[المدة المنقضبة]])/P_FACT[[#This Row],[اجمالى المدة الزمنية المعتمدة]]</f>
        <v>1.6002723867892408</v>
      </c>
    </row>
    <row r="8" spans="1:28" ht="22.5" customHeight="1" x14ac:dyDescent="0.3">
      <c r="A8" s="7" t="str" cm="1">
        <f t="array" ref="A8">_xlfn.XLOOKUP(P_FACT[[#This Row],[PROJECT ID]],Table3[PROJECT ID],Sheet1!$D$2:$D$142)</f>
        <v>فرع جزر القمر</v>
      </c>
      <c r="B8" s="5">
        <v>1023</v>
      </c>
      <c r="C8" s="5" t="s">
        <v>108</v>
      </c>
      <c r="D8" s="6">
        <v>46234</v>
      </c>
      <c r="E8" s="5" t="s">
        <v>120</v>
      </c>
      <c r="F8" s="10" t="s">
        <v>177</v>
      </c>
      <c r="G8" s="5">
        <v>1748959.2592592591</v>
      </c>
      <c r="H8" s="5">
        <v>1748959.2592592591</v>
      </c>
      <c r="I8" s="4">
        <f>P_FACT[[#This Row],[منفذ شامل مستخلص داخلى
(B)]]/P_FACT[[#This Row],[اجمالى القيمة التعاقدية
(A)]]</f>
        <v>1</v>
      </c>
      <c r="J8" s="5">
        <v>1748959.2592592591</v>
      </c>
      <c r="K8" s="4">
        <f>P_FACT[[#This Row],[منفذ معتمد
(C)]]/P_FACT[[#This Row],[اجمالى القيمة التعاقدية
(A)]]</f>
        <v>1</v>
      </c>
      <c r="L8" s="5">
        <v>1748959.2592592591</v>
      </c>
      <c r="M8" s="4">
        <f>IF(P_FACT[[#This Row],[منفذ معتمد
(C)]]&gt;0,P_FACT[[#This Row],[اعمال مسدده
(D)]]/P_FACT[[#This Row],[منفذ معتمد
(C)]],0)</f>
        <v>1</v>
      </c>
      <c r="N8" s="5">
        <v>1748959.2592592591</v>
      </c>
      <c r="O8" s="4">
        <f>IF(P_FACT[[#This Row],[منفذ معتمد
(C)]]&gt;0,P_FACT[[#This Row],[سيولة محصلة
(F)]]/P_FACT[[#This Row],[منفذ معتمد
(C)]],0)</f>
        <v>1</v>
      </c>
      <c r="P8" s="5">
        <v>0</v>
      </c>
      <c r="Q8" s="4">
        <f>IF(P_FACT[[#This Row],[منفذ شامل مستخلص داخلى
(B)]]&gt;0,P_FACT[[#This Row],[الاعمال القابلة للصرف
(H)]]/P_FACT[[#This Row],[منفذ شامل مستخلص داخلى
(B)]],0)</f>
        <v>0</v>
      </c>
      <c r="R8" s="5">
        <v>0</v>
      </c>
      <c r="S8" s="4">
        <f>IF(P_FACT[[#This Row],[منفذ معتمد
(C)]]&gt;0,P_FACT[[#This Row],[غير قابلة للصرف
(G)]]/P_FACT[[#This Row],[منفذ معتمد
(C)]],0)</f>
        <v>0</v>
      </c>
      <c r="T8" s="5">
        <v>81021.712962962949</v>
      </c>
      <c r="U8" s="4">
        <f>IF(P_FACT[[#This Row],[منفذ معتمد
(C)]]&gt;0,P_FACT[[#This Row],[الربحية
(I)]]/P_FACT[[#This Row],[منفذ معتمد
(C)]],0)</f>
        <v>4.6325671986938259E-2</v>
      </c>
      <c r="V8" s="5">
        <v>173655.55555555553</v>
      </c>
      <c r="W8" s="4">
        <f>IF(P_FACT[[#This Row],[منفذ معتمد
(C)]]&gt;0,P_FACT[[#This Row],[الاجور
(J)]]/P_FACT[[#This Row],[منفذ معتمد
(C)]],0)</f>
        <v>9.9290795160719911E-2</v>
      </c>
      <c r="X8" s="6">
        <v>45433</v>
      </c>
      <c r="Y8" s="6">
        <v>45813</v>
      </c>
      <c r="Z8" s="2">
        <f>P_FACT[[#This Row],[تاريخ نهو المشروع المعدل شامل مد مدة الزمنى]]-P_FACT[[#This Row],[تاريخ بدء المشروع التعاقدى]]</f>
        <v>380</v>
      </c>
      <c r="AA8" s="2">
        <f>P_FACT[[#This Row],[تاريخ نهو المشروع المعدل شامل مد مدة الزمنى]]-P_FACT[[#This Row],[تاريخ تحديث البيان]]</f>
        <v>-421</v>
      </c>
      <c r="AB8" s="3">
        <f>(P_FACT[[#This Row],[اجمالى المدة الزمنية المعتمدة]]-P_FACT[[#This Row],[المدة المنقضبة]])/P_FACT[[#This Row],[اجمالى المدة الزمنية المعتمدة]]</f>
        <v>2.107894736842105</v>
      </c>
    </row>
    <row r="9" spans="1:28" ht="22.5" customHeight="1" x14ac:dyDescent="0.3">
      <c r="A9" s="8" t="str" cm="1">
        <f t="array" ref="A9">_xlfn.XLOOKUP(P_FACT[[#This Row],[PROJECT ID]],Table3[PROJECT ID],Sheet1!$D$2:$D$142)</f>
        <v>فرع جزر القمر</v>
      </c>
      <c r="B9" s="5">
        <v>1116</v>
      </c>
      <c r="C9" s="5" t="s">
        <v>108</v>
      </c>
      <c r="D9" s="6">
        <v>46234</v>
      </c>
      <c r="E9" s="5" t="s">
        <v>179</v>
      </c>
      <c r="F9" s="10" t="s">
        <v>180</v>
      </c>
      <c r="G9" s="5">
        <v>1046769.3760192258</v>
      </c>
      <c r="H9" s="5">
        <v>675947.98729722772</v>
      </c>
      <c r="I9" s="4">
        <f>P_FACT[[#This Row],[منفذ شامل مستخلص داخلى
(B)]]/P_FACT[[#This Row],[اجمالى القيمة التعاقدية
(A)]]</f>
        <v>0.6457468118410189</v>
      </c>
      <c r="J9" s="5">
        <v>675947.98729722772</v>
      </c>
      <c r="K9" s="4">
        <f>P_FACT[[#This Row],[منفذ معتمد
(C)]]/P_FACT[[#This Row],[اجمالى القيمة التعاقدية
(A)]]</f>
        <v>0.6457468118410189</v>
      </c>
      <c r="L9" s="5">
        <v>548915.97287786449</v>
      </c>
      <c r="M9" s="4">
        <f>IF(P_FACT[[#This Row],[منفذ معتمد
(C)]]&gt;0,P_FACT[[#This Row],[اعمال مسدده
(D)]]/P_FACT[[#This Row],[منفذ معتمد
(C)]],0)</f>
        <v>0.81206835909475872</v>
      </c>
      <c r="N9" s="5">
        <v>563808.25680199126</v>
      </c>
      <c r="O9" s="4">
        <f>IF(P_FACT[[#This Row],[منفذ معتمد
(C)]]&gt;0,P_FACT[[#This Row],[سيولة محصلة
(F)]]/P_FACT[[#This Row],[منفذ معتمد
(C)]],0)</f>
        <v>0.83410006005990756</v>
      </c>
      <c r="P9" s="5">
        <v>127032.01441936314</v>
      </c>
      <c r="Q9" s="4">
        <f>IF(P_FACT[[#This Row],[منفذ شامل مستخلص داخلى
(B)]]&gt;0,P_FACT[[#This Row],[الاعمال القابلة للصرف
(H)]]/P_FACT[[#This Row],[منفذ شامل مستخلص داخلى
(B)]],0)</f>
        <v>0.1879316409052412</v>
      </c>
      <c r="R9" s="5">
        <v>0</v>
      </c>
      <c r="S9" s="4">
        <f>IF(P_FACT[[#This Row],[منفذ معتمد
(C)]]&gt;0,P_FACT[[#This Row],[غير قابلة للصرف
(G)]]/P_FACT[[#This Row],[منفذ معتمد
(C)]],0)</f>
        <v>0</v>
      </c>
      <c r="T9" s="5">
        <v>133846.02180070381</v>
      </c>
      <c r="U9" s="4">
        <f>IF(P_FACT[[#This Row],[منفذ معتمد
(C)]]&gt;0,P_FACT[[#This Row],[الربحية
(I)]]/P_FACT[[#This Row],[منفذ معتمد
(C)]],0)</f>
        <v>0.19801230910663109</v>
      </c>
      <c r="V9" s="5">
        <v>86062.140588790659</v>
      </c>
      <c r="W9" s="4">
        <f>IF(P_FACT[[#This Row],[منفذ معتمد
(C)]]&gt;0,P_FACT[[#This Row],[الاجور
(J)]]/P_FACT[[#This Row],[منفذ معتمد
(C)]],0)</f>
        <v>0.12732065514820068</v>
      </c>
      <c r="X9" s="6">
        <v>45950</v>
      </c>
      <c r="Y9" s="6">
        <v>46265</v>
      </c>
      <c r="Z9" s="2">
        <f>P_FACT[[#This Row],[تاريخ نهو المشروع المعدل شامل مد مدة الزمنى]]-P_FACT[[#This Row],[تاريخ بدء المشروع التعاقدى]]</f>
        <v>315</v>
      </c>
      <c r="AA9" s="2">
        <f>P_FACT[[#This Row],[تاريخ نهو المشروع المعدل شامل مد مدة الزمنى]]-P_FACT[[#This Row],[تاريخ تحديث البيان]]</f>
        <v>31</v>
      </c>
      <c r="AB9" s="3">
        <f>(P_FACT[[#This Row],[اجمالى المدة الزمنية المعتمدة]]-P_FACT[[#This Row],[المدة المنقضبة]])/P_FACT[[#This Row],[اجمالى المدة الزمنية المعتمدة]]</f>
        <v>0.9015873015873016</v>
      </c>
    </row>
    <row r="10" spans="1:28" ht="22.5" customHeight="1" x14ac:dyDescent="0.3">
      <c r="A10" s="7" t="str" cm="1">
        <f t="array" ref="A10">_xlfn.XLOOKUP(P_FACT[[#This Row],[PROJECT ID]],Table3[PROJECT ID],Sheet1!$D$2:$D$142)</f>
        <v>فرع جزر القمر</v>
      </c>
      <c r="B10" s="5">
        <v>1024</v>
      </c>
      <c r="C10" s="5" t="s">
        <v>108</v>
      </c>
      <c r="D10" s="6">
        <v>46234</v>
      </c>
      <c r="E10" s="5" t="s">
        <v>107</v>
      </c>
      <c r="F10" s="10" t="s">
        <v>174</v>
      </c>
      <c r="G10" s="5">
        <v>5651176.3424369749</v>
      </c>
      <c r="H10" s="5">
        <v>4490623.8151260503</v>
      </c>
      <c r="I10" s="4">
        <f>P_FACT[[#This Row],[منفذ شامل مستخلص داخلى
(B)]]/P_FACT[[#This Row],[اجمالى القيمة التعاقدية
(A)]]</f>
        <v>0.79463523043939277</v>
      </c>
      <c r="J10" s="5">
        <v>4213312.8907563025</v>
      </c>
      <c r="K10" s="4">
        <f>P_FACT[[#This Row],[منفذ معتمد
(C)]]/P_FACT[[#This Row],[اجمالى القيمة التعاقدية
(A)]]</f>
        <v>0.74556386767067018</v>
      </c>
      <c r="L10" s="5">
        <v>4213312.8907563025</v>
      </c>
      <c r="M10" s="4">
        <f>IF(P_FACT[[#This Row],[منفذ معتمد
(C)]]&gt;0,P_FACT[[#This Row],[اعمال مسدده
(D)]]/P_FACT[[#This Row],[منفذ معتمد
(C)]],0)</f>
        <v>1</v>
      </c>
      <c r="N10" s="5">
        <v>5342965.2899159668</v>
      </c>
      <c r="O10" s="4">
        <f>IF(P_FACT[[#This Row],[منفذ معتمد
(C)]]&gt;0,P_FACT[[#This Row],[سيولة محصلة
(F)]]/P_FACT[[#This Row],[منفذ معتمد
(C)]],0)</f>
        <v>1.2681150031933395</v>
      </c>
      <c r="P10" s="5">
        <v>0</v>
      </c>
      <c r="Q10" s="4">
        <f>IF(P_FACT[[#This Row],[منفذ شامل مستخلص داخلى
(B)]]&gt;0,P_FACT[[#This Row],[الاعمال القابلة للصرف
(H)]]/P_FACT[[#This Row],[منفذ شامل مستخلص داخلى
(B)]],0)</f>
        <v>0</v>
      </c>
      <c r="R10" s="5">
        <v>277310.92394957982</v>
      </c>
      <c r="S10" s="4">
        <f>IF(P_FACT[[#This Row],[منفذ معتمد
(C)]]&gt;0,P_FACT[[#This Row],[غير قابلة للصرف
(G)]]/P_FACT[[#This Row],[منفذ معتمد
(C)]],0)</f>
        <v>6.5817785467103457E-2</v>
      </c>
      <c r="T10" s="5">
        <v>172491.09388655462</v>
      </c>
      <c r="U10" s="4">
        <f>IF(P_FACT[[#This Row],[منفذ معتمد
(C)]]&gt;0,P_FACT[[#This Row],[الربحية
(I)]]/P_FACT[[#This Row],[منفذ معتمد
(C)]],0)</f>
        <v>4.093954053708837E-2</v>
      </c>
      <c r="V10" s="5">
        <v>695460.01113445382</v>
      </c>
      <c r="W10" s="4">
        <f>IF(P_FACT[[#This Row],[منفذ معتمد
(C)]]&gt;0,P_FACT[[#This Row],[الاجور
(J)]]/P_FACT[[#This Row],[منفذ معتمد
(C)]],0)</f>
        <v>0.1650625123665137</v>
      </c>
      <c r="X10" s="6">
        <v>45471</v>
      </c>
      <c r="Y10" s="6">
        <v>46172</v>
      </c>
      <c r="Z10" s="2">
        <f>P_FACT[[#This Row],[تاريخ نهو المشروع المعدل شامل مد مدة الزمنى]]-P_FACT[[#This Row],[تاريخ بدء المشروع التعاقدى]]</f>
        <v>701</v>
      </c>
      <c r="AA10" s="2">
        <f>P_FACT[[#This Row],[تاريخ نهو المشروع المعدل شامل مد مدة الزمنى]]-P_FACT[[#This Row],[تاريخ تحديث البيان]]</f>
        <v>-62</v>
      </c>
      <c r="AB10" s="3">
        <f>(P_FACT[[#This Row],[اجمالى المدة الزمنية المعتمدة]]-P_FACT[[#This Row],[المدة المنقضبة]])/P_FACT[[#This Row],[اجمالى المدة الزمنية المعتمدة]]</f>
        <v>1.0884450784593438</v>
      </c>
    </row>
    <row r="11" spans="1:28" ht="22.5" customHeight="1" x14ac:dyDescent="0.3">
      <c r="A11" s="8" t="str" cm="1">
        <f t="array" ref="A11">_xlfn.XLOOKUP(P_FACT[[#This Row],[PROJECT ID]],Table3[PROJECT ID],Sheet1!$D$2:$D$142)</f>
        <v>فرع جزر القمر</v>
      </c>
      <c r="B11" s="5">
        <v>1022</v>
      </c>
      <c r="C11" s="5" t="s">
        <v>108</v>
      </c>
      <c r="D11" s="6">
        <v>46234</v>
      </c>
      <c r="E11" s="5" t="s">
        <v>119</v>
      </c>
      <c r="F11" s="10" t="s">
        <v>176</v>
      </c>
      <c r="G11" s="5">
        <v>55555555.555555552</v>
      </c>
      <c r="H11" s="5">
        <v>6953055.555555555</v>
      </c>
      <c r="I11" s="4">
        <f>P_FACT[[#This Row],[منفذ شامل مستخلص داخلى
(B)]]/P_FACT[[#This Row],[اجمالى القيمة التعاقدية
(A)]]</f>
        <v>0.12515499999999999</v>
      </c>
      <c r="J11" s="5">
        <v>6490092.5925925924</v>
      </c>
      <c r="K11" s="4">
        <f>P_FACT[[#This Row],[منفذ معتمد
(C)]]/P_FACT[[#This Row],[اجمالى القيمة التعاقدية
(A)]]</f>
        <v>0.11682166666666667</v>
      </c>
      <c r="L11" s="5">
        <v>5008611.111111111</v>
      </c>
      <c r="M11" s="4">
        <f>IF(P_FACT[[#This Row],[منفذ معتمد
(C)]]&gt;0,P_FACT[[#This Row],[اعمال مسدده
(D)]]/P_FACT[[#This Row],[منفذ معتمد
(C)]],0)</f>
        <v>0.77173184198136757</v>
      </c>
      <c r="N11" s="5">
        <v>16119722.222222222</v>
      </c>
      <c r="O11" s="4">
        <f>IF(P_FACT[[#This Row],[منفذ معتمد
(C)]]&gt;0,P_FACT[[#This Row],[سيولة محصلة
(F)]]/P_FACT[[#This Row],[منفذ معتمد
(C)]],0)</f>
        <v>2.4837430271211107</v>
      </c>
      <c r="P11" s="5">
        <v>1481481.4814814813</v>
      </c>
      <c r="Q11" s="4">
        <f>IF(P_FACT[[#This Row],[منفذ شامل مستخلص داخلى
(B)]]&gt;0,P_FACT[[#This Row],[الاعمال القابلة للصرف
(H)]]/P_FACT[[#This Row],[منفذ شامل مستخلص داخلى
(B)]],0)</f>
        <v>0.21306912761509061</v>
      </c>
      <c r="R11" s="5">
        <v>462962.96296296292</v>
      </c>
      <c r="S11" s="4">
        <f>IF(P_FACT[[#This Row],[منفذ معتمد
(C)]]&gt;0,P_FACT[[#This Row],[غير قابلة للصرف
(G)]]/P_FACT[[#This Row],[منفذ معتمد
(C)]],0)</f>
        <v>7.1333799380822613E-2</v>
      </c>
      <c r="T11" s="5">
        <v>-2526075.6388888885</v>
      </c>
      <c r="U11" s="4">
        <f>IF(P_FACT[[#This Row],[منفذ معتمد
(C)]]&gt;0,P_FACT[[#This Row],[الربحية
(I)]]/P_FACT[[#This Row],[منفذ معتمد
(C)]],0)</f>
        <v>-0.38922027734581194</v>
      </c>
      <c r="V11" s="5">
        <v>2626901.8518518517</v>
      </c>
      <c r="W11" s="4">
        <f>IF(P_FACT[[#This Row],[منفذ معتمد
(C)]]&gt;0,P_FACT[[#This Row],[الاجور
(J)]]/P_FACT[[#This Row],[منفذ معتمد
(C)]],0)</f>
        <v>0.40475568173712068</v>
      </c>
      <c r="X11" s="6">
        <v>45314</v>
      </c>
      <c r="Y11" s="6">
        <v>46610</v>
      </c>
      <c r="Z11" s="2">
        <f>P_FACT[[#This Row],[تاريخ نهو المشروع المعدل شامل مد مدة الزمنى]]-P_FACT[[#This Row],[تاريخ بدء المشروع التعاقدى]]</f>
        <v>1296</v>
      </c>
      <c r="AA11" s="2">
        <f>P_FACT[[#This Row],[تاريخ نهو المشروع المعدل شامل مد مدة الزمنى]]-P_FACT[[#This Row],[تاريخ تحديث البيان]]</f>
        <v>376</v>
      </c>
      <c r="AB11" s="3">
        <f>(P_FACT[[#This Row],[اجمالى المدة الزمنية المعتمدة]]-P_FACT[[#This Row],[المدة المنقضبة]])/P_FACT[[#This Row],[اجمالى المدة الزمنية المعتمدة]]</f>
        <v>0.70987654320987659</v>
      </c>
    </row>
    <row r="12" spans="1:28" ht="22.5" customHeight="1" x14ac:dyDescent="0.3">
      <c r="A12" s="7" t="str" cm="1">
        <f t="array" ref="A12">_xlfn.XLOOKUP(P_FACT[[#This Row],[PROJECT ID]],Table3[PROJECT ID],Sheet1!$D$2:$D$142)</f>
        <v>شركة المقاولون العرب العمانية</v>
      </c>
      <c r="B12" s="5">
        <v>1032</v>
      </c>
      <c r="C12" s="5" t="s">
        <v>33</v>
      </c>
      <c r="D12" s="6">
        <v>46234</v>
      </c>
      <c r="E12" s="5" t="s">
        <v>32</v>
      </c>
      <c r="F12" s="10" t="s">
        <v>201</v>
      </c>
      <c r="G12" s="5">
        <v>20769151.558441557</v>
      </c>
      <c r="H12" s="5">
        <v>9820179.2207792196</v>
      </c>
      <c r="I12" s="4">
        <f>P_FACT[[#This Row],[منفذ شامل مستخلص داخلى
(B)]]/P_FACT[[#This Row],[اجمالى القيمة التعاقدية
(A)]]</f>
        <v>0.47282524724934361</v>
      </c>
      <c r="J12" s="5">
        <v>8872206.3636363633</v>
      </c>
      <c r="K12" s="4">
        <f>P_FACT[[#This Row],[منفذ معتمد
(C)]]/P_FACT[[#This Row],[اجمالى القيمة التعاقدية
(A)]]</f>
        <v>0.42718193560633355</v>
      </c>
      <c r="L12" s="5">
        <v>8148580.2597402595</v>
      </c>
      <c r="M12" s="4">
        <f>IF(P_FACT[[#This Row],[منفذ معتمد
(C)]]&gt;0,P_FACT[[#This Row],[اعمال مسدده
(D)]]/P_FACT[[#This Row],[منفذ معتمد
(C)]],0)</f>
        <v>0.91843899090738479</v>
      </c>
      <c r="N12" s="5">
        <v>8978685.7142857146</v>
      </c>
      <c r="O12" s="4">
        <f>IF(P_FACT[[#This Row],[منفذ معتمد
(C)]]&gt;0,P_FACT[[#This Row],[سيولة محصلة
(F)]]/P_FACT[[#This Row],[منفذ معتمد
(C)]],0)</f>
        <v>1.0120014510805078</v>
      </c>
      <c r="P12" s="5">
        <v>723626.1038961038</v>
      </c>
      <c r="Q12" s="4">
        <f>IF(P_FACT[[#This Row],[منفذ شامل مستخلص داخلى
(B)]]&gt;0,P_FACT[[#This Row],[الاعمال القابلة للصرف
(H)]]/P_FACT[[#This Row],[منفذ شامل مستخلص داخلى
(B)]],0)</f>
        <v>7.3687667773408003E-2</v>
      </c>
      <c r="R12" s="5">
        <v>947972.85714285704</v>
      </c>
      <c r="S12" s="4">
        <f>IF(P_FACT[[#This Row],[منفذ معتمد
(C)]]&gt;0,P_FACT[[#This Row],[غير قابلة للصرف
(G)]]/P_FACT[[#This Row],[منفذ معتمد
(C)]],0)</f>
        <v>0.1068474760718168</v>
      </c>
      <c r="T12" s="5">
        <v>196402.5974025974</v>
      </c>
      <c r="U12" s="4">
        <f>IF(P_FACT[[#This Row],[منفذ معتمد
(C)]]&gt;0,P_FACT[[#This Row],[الربحية
(I)]]/P_FACT[[#This Row],[منفذ معتمد
(C)]],0)</f>
        <v>2.2136838273687291E-2</v>
      </c>
      <c r="V12" s="5">
        <v>1575228.5714285714</v>
      </c>
      <c r="W12" s="4">
        <f>IF(P_FACT[[#This Row],[منفذ معتمد
(C)]]&gt;0,P_FACT[[#This Row],[الاجور
(J)]]/P_FACT[[#This Row],[منفذ معتمد
(C)]],0)</f>
        <v>0.17754643060206593</v>
      </c>
      <c r="X12" s="6">
        <v>45530</v>
      </c>
      <c r="Y12" s="6">
        <v>46625</v>
      </c>
      <c r="Z12" s="2">
        <f>P_FACT[[#This Row],[تاريخ نهو المشروع المعدل شامل مد مدة الزمنى]]-P_FACT[[#This Row],[تاريخ بدء المشروع التعاقدى]]</f>
        <v>1095</v>
      </c>
      <c r="AA12" s="2">
        <f>P_FACT[[#This Row],[تاريخ نهو المشروع المعدل شامل مد مدة الزمنى]]-P_FACT[[#This Row],[تاريخ تحديث البيان]]</f>
        <v>391</v>
      </c>
      <c r="AB12" s="3">
        <f>(P_FACT[[#This Row],[اجمالى المدة الزمنية المعتمدة]]-P_FACT[[#This Row],[المدة المنقضبة]])/P_FACT[[#This Row],[اجمالى المدة الزمنية المعتمدة]]</f>
        <v>0.64292237442922373</v>
      </c>
    </row>
    <row r="13" spans="1:28" ht="22.5" customHeight="1" x14ac:dyDescent="0.3">
      <c r="A13" s="8" t="str" cm="1">
        <f t="array" ref="A13">_xlfn.XLOOKUP(P_FACT[[#This Row],[PROJECT ID]],Table3[PROJECT ID],Sheet1!$D$2:$D$142)</f>
        <v>شركة المقاولون العرب العمانية</v>
      </c>
      <c r="B13" s="5">
        <v>1101</v>
      </c>
      <c r="C13" s="5" t="s">
        <v>33</v>
      </c>
      <c r="D13" s="6">
        <v>46234</v>
      </c>
      <c r="E13" s="5" t="s">
        <v>154</v>
      </c>
      <c r="F13" s="10" t="s">
        <v>202</v>
      </c>
      <c r="G13" s="5">
        <v>14721800</v>
      </c>
      <c r="H13" s="5">
        <v>8451948.0519480519</v>
      </c>
      <c r="I13" s="4">
        <f>P_FACT[[#This Row],[منفذ شامل مستخلص داخلى
(B)]]/P_FACT[[#This Row],[اجمالى القيمة التعاقدية
(A)]]</f>
        <v>0.57411104973223737</v>
      </c>
      <c r="J13" s="5">
        <v>7807558.4415584411</v>
      </c>
      <c r="K13" s="4">
        <f>P_FACT[[#This Row],[منفذ معتمد
(C)]]/P_FACT[[#This Row],[اجمالى القيمة التعاقدية
(A)]]</f>
        <v>0.5303399340813244</v>
      </c>
      <c r="L13" s="5">
        <v>6473724.6753246756</v>
      </c>
      <c r="M13" s="4">
        <f>IF(P_FACT[[#This Row],[منفذ معتمد
(C)]]&gt;0,P_FACT[[#This Row],[اعمال مسدده
(D)]]/P_FACT[[#This Row],[منفذ معتمد
(C)]],0)</f>
        <v>0.82916121906510853</v>
      </c>
      <c r="N13" s="5">
        <v>7934594.8051948054</v>
      </c>
      <c r="O13" s="4">
        <f>IF(P_FACT[[#This Row],[منفذ معتمد
(C)]]&gt;0,P_FACT[[#This Row],[سيولة محصلة
(F)]]/P_FACT[[#This Row],[منفذ معتمد
(C)]],0)</f>
        <v>1.0162709462359154</v>
      </c>
      <c r="P13" s="5">
        <v>1333833.7662337662</v>
      </c>
      <c r="Q13" s="4">
        <f>IF(P_FACT[[#This Row],[منفذ شامل مستخلص داخلى
(B)]]&gt;0,P_FACT[[#This Row],[الاعمال القابلة للصرف
(H)]]/P_FACT[[#This Row],[منفذ شامل مستخلص داخلى
(B)]],0)</f>
        <v>0.15781376767055932</v>
      </c>
      <c r="R13" s="5">
        <v>644389.6103896104</v>
      </c>
      <c r="S13" s="4">
        <f>IF(P_FACT[[#This Row],[منفذ معتمد
(C)]]&gt;0,P_FACT[[#This Row],[غير قابلة للصرف
(G)]]/P_FACT[[#This Row],[منفذ معتمد
(C)]],0)</f>
        <v>8.2534074539823227E-2</v>
      </c>
      <c r="T13" s="5">
        <v>127111.68831168831</v>
      </c>
      <c r="U13" s="4">
        <f>IF(P_FACT[[#This Row],[منفذ معتمد
(C)]]&gt;0,P_FACT[[#This Row],[الربحية
(I)]]/P_FACT[[#This Row],[منفذ معتمد
(C)]],0)</f>
        <v>1.6280593896690187E-2</v>
      </c>
      <c r="V13" s="5">
        <v>1516311.6883116884</v>
      </c>
      <c r="W13" s="4">
        <f>IF(P_FACT[[#This Row],[منفذ معتمد
(C)]]&gt;0,P_FACT[[#This Row],[الاجور
(J)]]/P_FACT[[#This Row],[منفذ معتمد
(C)]],0)</f>
        <v>0.19421073817912049</v>
      </c>
      <c r="X13" s="6">
        <v>45585</v>
      </c>
      <c r="Y13" s="6">
        <v>46314</v>
      </c>
      <c r="Z13" s="2">
        <f>P_FACT[[#This Row],[تاريخ نهو المشروع المعدل شامل مد مدة الزمنى]]-P_FACT[[#This Row],[تاريخ بدء المشروع التعاقدى]]</f>
        <v>729</v>
      </c>
      <c r="AA13" s="2">
        <f>P_FACT[[#This Row],[تاريخ نهو المشروع المعدل شامل مد مدة الزمنى]]-P_FACT[[#This Row],[تاريخ تحديث البيان]]</f>
        <v>80</v>
      </c>
      <c r="AB13" s="3">
        <f>(P_FACT[[#This Row],[اجمالى المدة الزمنية المعتمدة]]-P_FACT[[#This Row],[المدة المنقضبة]])/P_FACT[[#This Row],[اجمالى المدة الزمنية المعتمدة]]</f>
        <v>0.89026063100137176</v>
      </c>
    </row>
    <row r="14" spans="1:28" ht="22.5" customHeight="1" x14ac:dyDescent="0.3">
      <c r="A14" s="7" t="str" cm="1">
        <f t="array" ref="A14">_xlfn.XLOOKUP(P_FACT[[#This Row],[PROJECT ID]],Table3[PROJECT ID],Sheet1!$D$2:$D$142)</f>
        <v>شركة المقاولون العرب العمانية</v>
      </c>
      <c r="B14" s="5">
        <v>1102</v>
      </c>
      <c r="C14" s="5" t="s">
        <v>33</v>
      </c>
      <c r="D14" s="6">
        <v>46234</v>
      </c>
      <c r="E14" s="5" t="s">
        <v>155</v>
      </c>
      <c r="F14" s="10" t="s">
        <v>203</v>
      </c>
      <c r="G14" s="5">
        <v>32785143.09090909</v>
      </c>
      <c r="H14" s="5">
        <v>8080987.012987013</v>
      </c>
      <c r="I14" s="4">
        <f>P_FACT[[#This Row],[منفذ شامل مستخلص داخلى
(B)]]/P_FACT[[#This Row],[اجمالى القيمة التعاقدية
(A)]]</f>
        <v>0.24648320096024742</v>
      </c>
      <c r="J14" s="5">
        <v>7821272</v>
      </c>
      <c r="K14" s="4">
        <f>P_FACT[[#This Row],[منفذ معتمد
(C)]]/P_FACT[[#This Row],[اجمالى القيمة التعاقدية
(A)]]</f>
        <v>0.23856147213732129</v>
      </c>
      <c r="L14" s="5">
        <v>6873380.2597402595</v>
      </c>
      <c r="M14" s="4">
        <f>IF(P_FACT[[#This Row],[منفذ معتمد
(C)]]&gt;0,P_FACT[[#This Row],[اعمال مسدده
(D)]]/P_FACT[[#This Row],[منفذ معتمد
(C)]],0)</f>
        <v>0.87880593588105105</v>
      </c>
      <c r="N14" s="5">
        <v>9231516.8831168823</v>
      </c>
      <c r="O14" s="4">
        <f>IF(P_FACT[[#This Row],[منفذ معتمد
(C)]]&gt;0,P_FACT[[#This Row],[سيولة محصلة
(F)]]/P_FACT[[#This Row],[منفذ معتمد
(C)]],0)</f>
        <v>1.1803088913308324</v>
      </c>
      <c r="P14" s="5">
        <v>947891.74025974027</v>
      </c>
      <c r="Q14" s="4">
        <f>IF(P_FACT[[#This Row],[منفذ شامل مستخلص داخلى
(B)]]&gt;0,P_FACT[[#This Row],[الاعمال القابلة للصرف
(H)]]/P_FACT[[#This Row],[منفذ شامل مستخلص داخلى
(B)]],0)</f>
        <v>0.11729900552202059</v>
      </c>
      <c r="R14" s="5">
        <v>259715.01298701297</v>
      </c>
      <c r="S14" s="4">
        <f>IF(P_FACT[[#This Row],[منفذ معتمد
(C)]]&gt;0,P_FACT[[#This Row],[غير قابلة للصرف
(G)]]/P_FACT[[#This Row],[منفذ معتمد
(C)]],0)</f>
        <v>3.3206237167945699E-2</v>
      </c>
      <c r="T14" s="5">
        <v>121459.74025974025</v>
      </c>
      <c r="U14" s="4">
        <f>IF(P_FACT[[#This Row],[منفذ معتمد
(C)]]&gt;0,P_FACT[[#This Row],[الربحية
(I)]]/P_FACT[[#This Row],[منفذ معتمد
(C)]],0)</f>
        <v>1.5529410083134847E-2</v>
      </c>
      <c r="V14" s="5">
        <v>1481880.5194805195</v>
      </c>
      <c r="W14" s="4">
        <f>IF(P_FACT[[#This Row],[منفذ معتمد
(C)]]&gt;0,P_FACT[[#This Row],[الاجور
(J)]]/P_FACT[[#This Row],[منفذ معتمد
(C)]],0)</f>
        <v>0.18946796882662045</v>
      </c>
      <c r="X14" s="6">
        <v>45585</v>
      </c>
      <c r="Y14" s="6">
        <v>47080</v>
      </c>
      <c r="Z14" s="2">
        <f>P_FACT[[#This Row],[تاريخ نهو المشروع المعدل شامل مد مدة الزمنى]]-P_FACT[[#This Row],[تاريخ بدء المشروع التعاقدى]]</f>
        <v>1495</v>
      </c>
      <c r="AA14" s="2">
        <f>P_FACT[[#This Row],[تاريخ نهو المشروع المعدل شامل مد مدة الزمنى]]-P_FACT[[#This Row],[تاريخ تحديث البيان]]</f>
        <v>846</v>
      </c>
      <c r="AB14" s="3">
        <f>(P_FACT[[#This Row],[اجمالى المدة الزمنية المعتمدة]]-P_FACT[[#This Row],[المدة المنقضبة]])/P_FACT[[#This Row],[اجمالى المدة الزمنية المعتمدة]]</f>
        <v>0.43411371237458196</v>
      </c>
    </row>
    <row r="15" spans="1:28" ht="22.5" customHeight="1" x14ac:dyDescent="0.3">
      <c r="A15" s="8" t="str" cm="1">
        <f t="array" ref="A15">_xlfn.XLOOKUP(P_FACT[[#This Row],[PROJECT ID]],Table3[PROJECT ID],Sheet1!$D$2:$D$142)</f>
        <v>شركة المقاولون العرب العمانية</v>
      </c>
      <c r="B15" s="5">
        <v>1103</v>
      </c>
      <c r="C15" s="5" t="s">
        <v>33</v>
      </c>
      <c r="D15" s="6">
        <v>46234</v>
      </c>
      <c r="E15" s="5" t="s">
        <v>158</v>
      </c>
      <c r="F15" s="10" t="s">
        <v>204</v>
      </c>
      <c r="G15" s="5">
        <v>24015841.779220782</v>
      </c>
      <c r="H15" s="5">
        <v>11616516.493506493</v>
      </c>
      <c r="I15" s="4">
        <f>P_FACT[[#This Row],[منفذ شامل مستخلص داخلى
(B)]]/P_FACT[[#This Row],[اجمالى القيمة التعاقدية
(A)]]</f>
        <v>0.48370224122468392</v>
      </c>
      <c r="J15" s="5">
        <v>10577555.454545455</v>
      </c>
      <c r="K15" s="4">
        <f>P_FACT[[#This Row],[منفذ معتمد
(C)]]/P_FACT[[#This Row],[اجمالى القيمة التعاقدية
(A)]]</f>
        <v>0.44044075372354713</v>
      </c>
      <c r="L15" s="5">
        <v>8336116.3636363633</v>
      </c>
      <c r="M15" s="4">
        <f>IF(P_FACT[[#This Row],[منفذ معتمد
(C)]]&gt;0,P_FACT[[#This Row],[اعمال مسدده
(D)]]/P_FACT[[#This Row],[منفذ معتمد
(C)]],0)</f>
        <v>0.78809479179370445</v>
      </c>
      <c r="N15" s="5">
        <v>9436168.8311688304</v>
      </c>
      <c r="O15" s="4">
        <f>IF(P_FACT[[#This Row],[منفذ معتمد
(C)]]&gt;0,P_FACT[[#This Row],[سيولة محصلة
(F)]]/P_FACT[[#This Row],[منفذ معتمد
(C)]],0)</f>
        <v>0.8920935344388915</v>
      </c>
      <c r="P15" s="5">
        <v>2241439.0909090908</v>
      </c>
      <c r="Q15" s="4">
        <f>IF(P_FACT[[#This Row],[منفذ شامل مستخلص داخلى
(B)]]&gt;0,P_FACT[[#This Row],[الاعمال القابلة للصرف
(H)]]/P_FACT[[#This Row],[منفذ شامل مستخلص داخلى
(B)]],0)</f>
        <v>0.19295277479802408</v>
      </c>
      <c r="R15" s="5">
        <v>1038961.0389610389</v>
      </c>
      <c r="S15" s="4">
        <f>IF(P_FACT[[#This Row],[منفذ معتمد
(C)]]&gt;0,P_FACT[[#This Row],[غير قابلة للصرف
(G)]]/P_FACT[[#This Row],[منفذ معتمد
(C)]],0)</f>
        <v>9.8223171074425325E-2</v>
      </c>
      <c r="T15" s="5">
        <v>290412.98701298703</v>
      </c>
      <c r="U15" s="4">
        <f>IF(P_FACT[[#This Row],[منفذ معتمد
(C)]]&gt;0,P_FACT[[#This Row],[الربحية
(I)]]/P_FACT[[#This Row],[منفذ معتمد
(C)]],0)</f>
        <v>2.7455586336651055E-2</v>
      </c>
      <c r="V15" s="5">
        <v>982152.98701298703</v>
      </c>
      <c r="W15" s="4">
        <f>IF(P_FACT[[#This Row],[منفذ معتمد
(C)]]&gt;0,P_FACT[[#This Row],[الاجور
(J)]]/P_FACT[[#This Row],[منفذ معتمد
(C)]],0)</f>
        <v>9.2852549082210661E-2</v>
      </c>
      <c r="X15" s="6">
        <v>45712</v>
      </c>
      <c r="Y15" s="6">
        <v>46442</v>
      </c>
      <c r="Z15" s="2">
        <f>P_FACT[[#This Row],[تاريخ نهو المشروع المعدل شامل مد مدة الزمنى]]-P_FACT[[#This Row],[تاريخ بدء المشروع التعاقدى]]</f>
        <v>730</v>
      </c>
      <c r="AA15" s="2">
        <f>P_FACT[[#This Row],[تاريخ نهو المشروع المعدل شامل مد مدة الزمنى]]-P_FACT[[#This Row],[تاريخ تحديث البيان]]</f>
        <v>208</v>
      </c>
      <c r="AB15" s="3">
        <f>(P_FACT[[#This Row],[اجمالى المدة الزمنية المعتمدة]]-P_FACT[[#This Row],[المدة المنقضبة]])/P_FACT[[#This Row],[اجمالى المدة الزمنية المعتمدة]]</f>
        <v>0.71506849315068488</v>
      </c>
    </row>
    <row r="16" spans="1:28" ht="22.5" customHeight="1" x14ac:dyDescent="0.3">
      <c r="A16" s="7" t="str" cm="1">
        <f t="array" ref="A16">_xlfn.XLOOKUP(P_FACT[[#This Row],[PROJECT ID]],Table3[PROJECT ID],Sheet1!$D$2:$D$142)</f>
        <v>شركة المقاولون العرب العمانية</v>
      </c>
      <c r="B16" s="5">
        <v>1113</v>
      </c>
      <c r="C16" s="5" t="s">
        <v>33</v>
      </c>
      <c r="D16" s="6">
        <v>46234</v>
      </c>
      <c r="E16" s="5" t="s">
        <v>169</v>
      </c>
      <c r="F16" s="10" t="s">
        <v>170</v>
      </c>
      <c r="G16" s="5">
        <v>4319109.0909090908</v>
      </c>
      <c r="H16" s="5">
        <v>3863783.5844155843</v>
      </c>
      <c r="I16" s="4">
        <f>P_FACT[[#This Row],[منفذ شامل مستخلص داخلى
(B)]]/P_FACT[[#This Row],[اجمالى القيمة التعاقدية
(A)]]</f>
        <v>0.89457883630402368</v>
      </c>
      <c r="J16" s="5">
        <v>3242007.2727272729</v>
      </c>
      <c r="K16" s="4">
        <f>P_FACT[[#This Row],[منفذ معتمد
(C)]]/P_FACT[[#This Row],[اجمالى القيمة التعاقدية
(A)]]</f>
        <v>0.75061944592950569</v>
      </c>
      <c r="L16" s="5">
        <v>1920685.7142857143</v>
      </c>
      <c r="M16" s="4">
        <f>IF(P_FACT[[#This Row],[منفذ معتمد
(C)]]&gt;0,P_FACT[[#This Row],[اعمال مسدده
(D)]]/P_FACT[[#This Row],[منفذ معتمد
(C)]],0)</f>
        <v>0.59243720100293806</v>
      </c>
      <c r="N16" s="5">
        <v>2032464.9350649351</v>
      </c>
      <c r="O16" s="4">
        <f>IF(P_FACT[[#This Row],[منفذ معتمد
(C)]]&gt;0,P_FACT[[#This Row],[سيولة محصلة
(F)]]/P_FACT[[#This Row],[منفذ معتمد
(C)]],0)</f>
        <v>0.62691560014767189</v>
      </c>
      <c r="P16" s="5">
        <v>1321321.5584415584</v>
      </c>
      <c r="Q16" s="4">
        <f>IF(P_FACT[[#This Row],[منفذ شامل مستخلص داخلى
(B)]]&gt;0,P_FACT[[#This Row],[الاعمال القابلة للصرف
(H)]]/P_FACT[[#This Row],[منفذ شامل مستخلص داخلى
(B)]],0)</f>
        <v>0.34197607851823164</v>
      </c>
      <c r="R16" s="5">
        <v>621776.31168831163</v>
      </c>
      <c r="S16" s="4">
        <f>IF(P_FACT[[#This Row],[منفذ معتمد
(C)]]&gt;0,P_FACT[[#This Row],[غير قابلة للصرف
(G)]]/P_FACT[[#This Row],[منفذ معتمد
(C)]],0)</f>
        <v>0.1917874512247022</v>
      </c>
      <c r="T16" s="5">
        <v>76064.935064935067</v>
      </c>
      <c r="U16" s="4">
        <f>IF(P_FACT[[#This Row],[منفذ معتمد
(C)]]&gt;0,P_FACT[[#This Row],[الربحية
(I)]]/P_FACT[[#This Row],[منفذ معتمد
(C)]],0)</f>
        <v>2.3462296246160787E-2</v>
      </c>
      <c r="V16" s="5">
        <v>284710.18181818182</v>
      </c>
      <c r="W16" s="4">
        <f>IF(P_FACT[[#This Row],[منفذ معتمد
(C)]]&gt;0,P_FACT[[#This Row],[الاجور
(J)]]/P_FACT[[#This Row],[منفذ معتمد
(C)]],0)</f>
        <v>8.7819106457054666E-2</v>
      </c>
      <c r="X16" s="6">
        <v>45712</v>
      </c>
      <c r="Y16" s="6">
        <v>46247</v>
      </c>
      <c r="Z16" s="2">
        <f>P_FACT[[#This Row],[تاريخ نهو المشروع المعدل شامل مد مدة الزمنى]]-P_FACT[[#This Row],[تاريخ بدء المشروع التعاقدى]]</f>
        <v>535</v>
      </c>
      <c r="AA16" s="2">
        <f>P_FACT[[#This Row],[تاريخ نهو المشروع المعدل شامل مد مدة الزمنى]]-P_FACT[[#This Row],[تاريخ تحديث البيان]]</f>
        <v>13</v>
      </c>
      <c r="AB16" s="3">
        <f>(P_FACT[[#This Row],[اجمالى المدة الزمنية المعتمدة]]-P_FACT[[#This Row],[المدة المنقضبة]])/P_FACT[[#This Row],[اجمالى المدة الزمنية المعتمدة]]</f>
        <v>0.97570093457943929</v>
      </c>
    </row>
    <row r="17" spans="1:28" ht="22.5" customHeight="1" x14ac:dyDescent="0.3">
      <c r="A17" s="8" t="str" cm="1">
        <f t="array" ref="A17">_xlfn.XLOOKUP(P_FACT[[#This Row],[PROJECT ID]],Table3[PROJECT ID],Sheet1!$D$2:$D$142)</f>
        <v>فرع لبنان</v>
      </c>
      <c r="B17" s="5">
        <v>1033</v>
      </c>
      <c r="C17" s="5" t="s">
        <v>21</v>
      </c>
      <c r="D17" s="6">
        <v>46234</v>
      </c>
      <c r="E17" s="5" t="s">
        <v>20</v>
      </c>
      <c r="F17" s="10" t="s">
        <v>205</v>
      </c>
      <c r="G17" s="5">
        <v>15661000</v>
      </c>
      <c r="H17" s="5">
        <v>15662438.77</v>
      </c>
      <c r="I17" s="4">
        <f>P_FACT[[#This Row],[منفذ شامل مستخلص داخلى
(B)]]/P_FACT[[#This Row],[اجمالى القيمة التعاقدية
(A)]]</f>
        <v>1.000091869612413</v>
      </c>
      <c r="J17" s="5">
        <v>15662438.77</v>
      </c>
      <c r="K17" s="4">
        <f>P_FACT[[#This Row],[منفذ معتمد
(C)]]/P_FACT[[#This Row],[اجمالى القيمة التعاقدية
(A)]]</f>
        <v>1.000091869612413</v>
      </c>
      <c r="L17" s="5">
        <v>15662438.77</v>
      </c>
      <c r="M17" s="4">
        <f>IF(P_FACT[[#This Row],[منفذ معتمد
(C)]]&gt;0,P_FACT[[#This Row],[اعمال مسدده
(D)]]/P_FACT[[#This Row],[منفذ معتمد
(C)]],0)</f>
        <v>1</v>
      </c>
      <c r="N17" s="5">
        <v>15662438.77</v>
      </c>
      <c r="O17" s="4">
        <f>IF(P_FACT[[#This Row],[منفذ معتمد
(C)]]&gt;0,P_FACT[[#This Row],[سيولة محصلة
(F)]]/P_FACT[[#This Row],[منفذ معتمد
(C)]],0)</f>
        <v>1</v>
      </c>
      <c r="P17" s="5">
        <v>0</v>
      </c>
      <c r="Q17" s="4">
        <f>IF(P_FACT[[#This Row],[منفذ شامل مستخلص داخلى
(B)]]&gt;0,P_FACT[[#This Row],[الاعمال القابلة للصرف
(H)]]/P_FACT[[#This Row],[منفذ شامل مستخلص داخلى
(B)]],0)</f>
        <v>0</v>
      </c>
      <c r="R17" s="5">
        <v>0</v>
      </c>
      <c r="S17" s="4">
        <f>IF(P_FACT[[#This Row],[منفذ معتمد
(C)]]&gt;0,P_FACT[[#This Row],[غير قابلة للصرف
(G)]]/P_FACT[[#This Row],[منفذ معتمد
(C)]],0)</f>
        <v>0</v>
      </c>
      <c r="T17" s="5">
        <v>339774.89</v>
      </c>
      <c r="U17" s="4">
        <f>IF(P_FACT[[#This Row],[منفذ معتمد
(C)]]&gt;0,P_FACT[[#This Row],[الربحية
(I)]]/P_FACT[[#This Row],[منفذ معتمد
(C)]],0)</f>
        <v>2.1693613299278044E-2</v>
      </c>
      <c r="V17" s="5">
        <v>277696.84000000003</v>
      </c>
      <c r="W17" s="4">
        <f>IF(P_FACT[[#This Row],[منفذ معتمد
(C)]]&gt;0,P_FACT[[#This Row],[الاجور
(J)]]/P_FACT[[#This Row],[منفذ معتمد
(C)]],0)</f>
        <v>1.7730114963443847E-2</v>
      </c>
      <c r="X17" s="6">
        <v>45054</v>
      </c>
      <c r="Y17" s="6">
        <v>46022</v>
      </c>
      <c r="Z17" s="2">
        <f>P_FACT[[#This Row],[تاريخ نهو المشروع المعدل شامل مد مدة الزمنى]]-P_FACT[[#This Row],[تاريخ بدء المشروع التعاقدى]]</f>
        <v>968</v>
      </c>
      <c r="AA17" s="2">
        <f>P_FACT[[#This Row],[تاريخ نهو المشروع المعدل شامل مد مدة الزمنى]]-P_FACT[[#This Row],[تاريخ تحديث البيان]]</f>
        <v>-212</v>
      </c>
      <c r="AB17" s="3">
        <f>(P_FACT[[#This Row],[اجمالى المدة الزمنية المعتمدة]]-P_FACT[[#This Row],[المدة المنقضبة]])/P_FACT[[#This Row],[اجمالى المدة الزمنية المعتمدة]]</f>
        <v>1.21900826446281</v>
      </c>
    </row>
    <row r="18" spans="1:28" ht="22.5" customHeight="1" x14ac:dyDescent="0.3">
      <c r="A18" s="7" t="str" cm="1">
        <f t="array" ref="A18">_xlfn.XLOOKUP(P_FACT[[#This Row],[PROJECT ID]],Table3[PROJECT ID],Sheet1!$D$2:$D$142)</f>
        <v>شركة المقاولون العرب النيجيرية</v>
      </c>
      <c r="B18" s="5">
        <v>1106</v>
      </c>
      <c r="C18" s="5" t="s">
        <v>110</v>
      </c>
      <c r="D18" s="6">
        <v>46234</v>
      </c>
      <c r="E18" s="5" t="s">
        <v>159</v>
      </c>
      <c r="F18" s="10" t="s">
        <v>206</v>
      </c>
      <c r="G18" s="5">
        <v>87203377.865363732</v>
      </c>
      <c r="H18" s="5">
        <v>17279557.68946797</v>
      </c>
      <c r="I18" s="4">
        <f>P_FACT[[#This Row],[منفذ شامل مستخلص داخلى
(B)]]/P_FACT[[#This Row],[اجمالى القيمة التعاقدية
(A)]]</f>
        <v>0.19815238941943819</v>
      </c>
      <c r="J18" s="5">
        <v>17279557.68946797</v>
      </c>
      <c r="K18" s="4">
        <f>P_FACT[[#This Row],[منفذ معتمد
(C)]]/P_FACT[[#This Row],[اجمالى القيمة التعاقدية
(A)]]</f>
        <v>0.19815238941943819</v>
      </c>
      <c r="L18" s="5">
        <v>0</v>
      </c>
      <c r="M18" s="4">
        <f>IF(P_FACT[[#This Row],[منفذ معتمد
(C)]]&gt;0,P_FACT[[#This Row],[اعمال مسدده
(D)]]/P_FACT[[#This Row],[منفذ معتمد
(C)]],0)</f>
        <v>0</v>
      </c>
      <c r="N18" s="5">
        <v>20521172.638436481</v>
      </c>
      <c r="O18" s="4">
        <f>IF(P_FACT[[#This Row],[منفذ معتمد
(C)]]&gt;0,P_FACT[[#This Row],[سيولة محصلة
(F)]]/P_FACT[[#This Row],[منفذ معتمد
(C)]],0)</f>
        <v>1.1875982595864882</v>
      </c>
      <c r="P18" s="5">
        <v>17279557.68946797</v>
      </c>
      <c r="Q18" s="4">
        <f>IF(P_FACT[[#This Row],[منفذ شامل مستخلص داخلى
(B)]]&gt;0,P_FACT[[#This Row],[الاعمال القابلة للصرف
(H)]]/P_FACT[[#This Row],[منفذ شامل مستخلص داخلى
(B)]],0)</f>
        <v>1</v>
      </c>
      <c r="R18" s="5">
        <v>0</v>
      </c>
      <c r="S18" s="4">
        <f>IF(P_FACT[[#This Row],[منفذ معتمد
(C)]]&gt;0,P_FACT[[#This Row],[غير قابلة للصرف
(G)]]/P_FACT[[#This Row],[منفذ معتمد
(C)]],0)</f>
        <v>0</v>
      </c>
      <c r="T18" s="5">
        <v>689574.20412595</v>
      </c>
      <c r="U18" s="4">
        <f>IF(P_FACT[[#This Row],[منفذ معتمد
(C)]]&gt;0,P_FACT[[#This Row],[الربحية
(I)]]/P_FACT[[#This Row],[منفذ معتمد
(C)]],0)</f>
        <v>3.9906936075467428E-2</v>
      </c>
      <c r="V18" s="5">
        <v>1537880.6340933768</v>
      </c>
      <c r="W18" s="4">
        <f>IF(P_FACT[[#This Row],[منفذ معتمد
(C)]]&gt;0,P_FACT[[#This Row],[الاجور
(J)]]/P_FACT[[#This Row],[منفذ معتمد
(C)]],0)</f>
        <v>8.8999999984416697E-2</v>
      </c>
      <c r="X18" s="6">
        <v>44662</v>
      </c>
      <c r="Y18" s="6">
        <v>46311</v>
      </c>
      <c r="Z18" s="2">
        <f>P_FACT[[#This Row],[تاريخ نهو المشروع المعدل شامل مد مدة الزمنى]]-P_FACT[[#This Row],[تاريخ بدء المشروع التعاقدى]]</f>
        <v>1649</v>
      </c>
      <c r="AA18" s="2">
        <f>P_FACT[[#This Row],[تاريخ نهو المشروع المعدل شامل مد مدة الزمنى]]-P_FACT[[#This Row],[تاريخ تحديث البيان]]</f>
        <v>77</v>
      </c>
      <c r="AB18" s="3">
        <f>(P_FACT[[#This Row],[اجمالى المدة الزمنية المعتمدة]]-P_FACT[[#This Row],[المدة المنقضبة]])/P_FACT[[#This Row],[اجمالى المدة الزمنية المعتمدة]]</f>
        <v>0.95330503335354766</v>
      </c>
    </row>
    <row r="19" spans="1:28" ht="22.5" customHeight="1" x14ac:dyDescent="0.3">
      <c r="A19" s="8" t="str" cm="1">
        <f t="array" ref="A19">_xlfn.XLOOKUP(P_FACT[[#This Row],[PROJECT ID]],Table3[PROJECT ID],Sheet1!$D$2:$D$142)</f>
        <v>شركة المقاولون العرب النيجيرية</v>
      </c>
      <c r="B19" s="5">
        <v>1065</v>
      </c>
      <c r="C19" s="5" t="s">
        <v>110</v>
      </c>
      <c r="D19" s="6">
        <v>46234</v>
      </c>
      <c r="E19" s="5" t="s">
        <v>111</v>
      </c>
      <c r="F19" s="10" t="s">
        <v>207</v>
      </c>
      <c r="G19" s="5">
        <v>323032612.45792699</v>
      </c>
      <c r="H19" s="5">
        <v>313404958.13843101</v>
      </c>
      <c r="I19" s="4">
        <f>P_FACT[[#This Row],[منفذ شامل مستخلص داخلى
(B)]]/P_FACT[[#This Row],[اجمالى القيمة التعاقدية
(A)]]</f>
        <v>0.97019602991091214</v>
      </c>
      <c r="J19" s="5">
        <v>313404958.13843101</v>
      </c>
      <c r="K19" s="4">
        <f>P_FACT[[#This Row],[منفذ معتمد
(C)]]/P_FACT[[#This Row],[اجمالى القيمة التعاقدية
(A)]]</f>
        <v>0.97019602991091214</v>
      </c>
      <c r="L19" s="5">
        <v>254958618.75809094</v>
      </c>
      <c r="M19" s="4">
        <f>IF(P_FACT[[#This Row],[منفذ معتمد
(C)]]&gt;0,P_FACT[[#This Row],[اعمال مسدده
(D)]]/P_FACT[[#This Row],[منفذ معتمد
(C)]],0)</f>
        <v>0.81351175894759042</v>
      </c>
      <c r="N19" s="5">
        <v>222067023.77233106</v>
      </c>
      <c r="O19" s="4">
        <f>IF(P_FACT[[#This Row],[منفذ معتمد
(C)]]&gt;0,P_FACT[[#This Row],[سيولة محصلة
(F)]]/P_FACT[[#This Row],[منفذ معتمد
(C)]],0)</f>
        <v>0.70856257377473919</v>
      </c>
      <c r="P19" s="5">
        <v>58446339.380340032</v>
      </c>
      <c r="Q19" s="4">
        <f>IF(P_FACT[[#This Row],[منفذ شامل مستخلص داخلى
(B)]]&gt;0,P_FACT[[#This Row],[الاعمال القابلة للصرف
(H)]]/P_FACT[[#This Row],[منفذ شامل مستخلص داخلى
(B)]],0)</f>
        <v>0.18648824105240949</v>
      </c>
      <c r="R19" s="5">
        <v>0</v>
      </c>
      <c r="S19" s="4">
        <f>IF(P_FACT[[#This Row],[منفذ معتمد
(C)]]&gt;0,P_FACT[[#This Row],[غير قابلة للصرف
(G)]]/P_FACT[[#This Row],[منفذ معتمد
(C)]],0)</f>
        <v>0</v>
      </c>
      <c r="T19" s="5">
        <v>31810111.840856131</v>
      </c>
      <c r="U19" s="4">
        <f>IF(P_FACT[[#This Row],[منفذ معتمد
(C)]]&gt;0,P_FACT[[#This Row],[الربحية
(I)]]/P_FACT[[#This Row],[منفذ معتمد
(C)]],0)</f>
        <v>0.10149843202801406</v>
      </c>
      <c r="V19" s="5">
        <v>31209932.588245448</v>
      </c>
      <c r="W19" s="4">
        <f>IF(P_FACT[[#This Row],[منفذ معتمد
(C)]]&gt;0,P_FACT[[#This Row],[الاجور
(J)]]/P_FACT[[#This Row],[منفذ معتمد
(C)]],0)</f>
        <v>9.9583404084054139E-2</v>
      </c>
      <c r="X19" s="6">
        <v>40046</v>
      </c>
      <c r="Y19" s="6">
        <v>46288</v>
      </c>
      <c r="Z19" s="2">
        <f>P_FACT[[#This Row],[تاريخ نهو المشروع المعدل شامل مد مدة الزمنى]]-P_FACT[[#This Row],[تاريخ بدء المشروع التعاقدى]]</f>
        <v>6242</v>
      </c>
      <c r="AA19" s="2">
        <f>P_FACT[[#This Row],[تاريخ نهو المشروع المعدل شامل مد مدة الزمنى]]-P_FACT[[#This Row],[تاريخ تحديث البيان]]</f>
        <v>54</v>
      </c>
      <c r="AB19" s="3">
        <f>(P_FACT[[#This Row],[اجمالى المدة الزمنية المعتمدة]]-P_FACT[[#This Row],[المدة المنقضبة]])/P_FACT[[#This Row],[اجمالى المدة الزمنية المعتمدة]]</f>
        <v>0.99134892662608143</v>
      </c>
    </row>
    <row r="20" spans="1:28" ht="22.5" customHeight="1" x14ac:dyDescent="0.3">
      <c r="A20" s="7" t="str" cm="1">
        <f t="array" ref="A20">_xlfn.XLOOKUP(P_FACT[[#This Row],[PROJECT ID]],Table3[PROJECT ID],Sheet1!$D$2:$D$142)</f>
        <v>شركة المقاولون العرب النيجيرية</v>
      </c>
      <c r="B20" s="5">
        <v>1059</v>
      </c>
      <c r="C20" s="5" t="s">
        <v>110</v>
      </c>
      <c r="D20" s="6">
        <v>46234</v>
      </c>
      <c r="E20" s="5" t="s">
        <v>112</v>
      </c>
      <c r="F20" s="10" t="s">
        <v>208</v>
      </c>
      <c r="G20" s="5">
        <v>327469008.85356981</v>
      </c>
      <c r="H20" s="5">
        <v>279218285.19754869</v>
      </c>
      <c r="I20" s="4">
        <f>P_FACT[[#This Row],[منفذ شامل مستخلص داخلى
(B)]]/P_FACT[[#This Row],[اجمالى القيمة التعاقدية
(A)]]</f>
        <v>0.85265560296853382</v>
      </c>
      <c r="J20" s="5">
        <v>278470938.27910918</v>
      </c>
      <c r="K20" s="4">
        <f>P_FACT[[#This Row],[منفذ معتمد
(C)]]/P_FACT[[#This Row],[اجمالى القيمة التعاقدية
(A)]]</f>
        <v>0.85037341168253733</v>
      </c>
      <c r="L20" s="5">
        <v>238222057.49090728</v>
      </c>
      <c r="M20" s="4">
        <f>IF(P_FACT[[#This Row],[منفذ معتمد
(C)]]&gt;0,P_FACT[[#This Row],[اعمال مسدده
(D)]]/P_FACT[[#This Row],[منفذ معتمد
(C)]],0)</f>
        <v>0.85546469934373992</v>
      </c>
      <c r="N20" s="5">
        <v>205716047.88999054</v>
      </c>
      <c r="O20" s="4">
        <f>IF(P_FACT[[#This Row],[منفذ معتمد
(C)]]&gt;0,P_FACT[[#This Row],[سيولة محصلة
(F)]]/P_FACT[[#This Row],[منفذ معتمد
(C)]],0)</f>
        <v>0.73873435110059138</v>
      </c>
      <c r="P20" s="5">
        <v>40248880.788201883</v>
      </c>
      <c r="Q20" s="4">
        <f>IF(P_FACT[[#This Row],[منفذ شامل مستخلص داخلى
(B)]]&gt;0,P_FACT[[#This Row],[الاعمال القابلة للصرف
(H)]]/P_FACT[[#This Row],[منفذ شامل مستخلص داخلى
(B)]],0)</f>
        <v>0.14414844199664628</v>
      </c>
      <c r="R20" s="5">
        <v>747346.91843953962</v>
      </c>
      <c r="S20" s="4">
        <f>IF(P_FACT[[#This Row],[منفذ معتمد
(C)]]&gt;0,P_FACT[[#This Row],[غير قابلة للصرف
(G)]]/P_FACT[[#This Row],[منفذ معتمد
(C)]],0)</f>
        <v>2.6837519313792084E-3</v>
      </c>
      <c r="T20" s="5">
        <v>20691721.618255194</v>
      </c>
      <c r="U20" s="4">
        <f>IF(P_FACT[[#This Row],[منفذ معتمد
(C)]]&gt;0,P_FACT[[#This Row],[الربحية
(I)]]/P_FACT[[#This Row],[منفذ معتمد
(C)]],0)</f>
        <v>7.4304779328592085E-2</v>
      </c>
      <c r="V20" s="5">
        <v>31179480.957600515</v>
      </c>
      <c r="W20" s="4">
        <f>IF(P_FACT[[#This Row],[منفذ معتمد
(C)]]&gt;0,P_FACT[[#This Row],[الاجور
(J)]]/P_FACT[[#This Row],[منفذ معتمد
(C)]],0)</f>
        <v>0.11196673214908183</v>
      </c>
      <c r="X20" s="6">
        <v>41519</v>
      </c>
      <c r="Y20" s="6">
        <v>46386</v>
      </c>
      <c r="Z20" s="2">
        <f>P_FACT[[#This Row],[تاريخ نهو المشروع المعدل شامل مد مدة الزمنى]]-P_FACT[[#This Row],[تاريخ بدء المشروع التعاقدى]]</f>
        <v>4867</v>
      </c>
      <c r="AA20" s="2">
        <f>P_FACT[[#This Row],[تاريخ نهو المشروع المعدل شامل مد مدة الزمنى]]-P_FACT[[#This Row],[تاريخ تحديث البيان]]</f>
        <v>152</v>
      </c>
      <c r="AB20" s="3">
        <f>(P_FACT[[#This Row],[اجمالى المدة الزمنية المعتمدة]]-P_FACT[[#This Row],[المدة المنقضبة]])/P_FACT[[#This Row],[اجمالى المدة الزمنية المعتمدة]]</f>
        <v>0.96876926237928906</v>
      </c>
    </row>
    <row r="21" spans="1:28" ht="22.5" customHeight="1" x14ac:dyDescent="0.3">
      <c r="A21" s="8" t="str" cm="1">
        <f t="array" ref="A21">_xlfn.XLOOKUP(P_FACT[[#This Row],[PROJECT ID]],Table3[PROJECT ID],Sheet1!$D$2:$D$142)</f>
        <v>شركة المقاولون العرب النيجيرية</v>
      </c>
      <c r="B21" s="5">
        <v>1062</v>
      </c>
      <c r="C21" s="5" t="s">
        <v>110</v>
      </c>
      <c r="D21" s="6">
        <v>46234</v>
      </c>
      <c r="E21" s="5" t="s">
        <v>113</v>
      </c>
      <c r="F21" s="10" t="s">
        <v>209</v>
      </c>
      <c r="G21" s="5">
        <v>15012286.107150974</v>
      </c>
      <c r="H21" s="5">
        <v>15011663.714126324</v>
      </c>
      <c r="I21" s="4">
        <f>P_FACT[[#This Row],[منفذ شامل مستخلص داخلى
(B)]]/P_FACT[[#This Row],[اجمالى القيمة التعاقدية
(A)]]</f>
        <v>0.9999585410895977</v>
      </c>
      <c r="J21" s="5">
        <v>15011663.714126324</v>
      </c>
      <c r="K21" s="4">
        <f>P_FACT[[#This Row],[منفذ معتمد
(C)]]/P_FACT[[#This Row],[اجمالى القيمة التعاقدية
(A)]]</f>
        <v>0.9999585410895977</v>
      </c>
      <c r="L21" s="5">
        <v>15011663.714126324</v>
      </c>
      <c r="M21" s="4">
        <f>IF(P_FACT[[#This Row],[منفذ معتمد
(C)]]&gt;0,P_FACT[[#This Row],[اعمال مسدده
(D)]]/P_FACT[[#This Row],[منفذ معتمد
(C)]],0)</f>
        <v>1</v>
      </c>
      <c r="N21" s="5">
        <v>12834972.475670984</v>
      </c>
      <c r="O21" s="4">
        <f>IF(P_FACT[[#This Row],[منفذ معتمد
(C)]]&gt;0,P_FACT[[#This Row],[سيولة محصلة
(F)]]/P_FACT[[#This Row],[منفذ معتمد
(C)]],0)</f>
        <v>0.85500000000619358</v>
      </c>
      <c r="P21" s="5">
        <v>0</v>
      </c>
      <c r="Q21" s="4">
        <f>IF(P_FACT[[#This Row],[منفذ شامل مستخلص داخلى
(B)]]&gt;0,P_FACT[[#This Row],[الاعمال القابلة للصرف
(H)]]/P_FACT[[#This Row],[منفذ شامل مستخلص داخلى
(B)]],0)</f>
        <v>0</v>
      </c>
      <c r="R21" s="5">
        <v>0</v>
      </c>
      <c r="S21" s="4">
        <f>IF(P_FACT[[#This Row],[منفذ معتمد
(C)]]&gt;0,P_FACT[[#This Row],[غير قابلة للصرف
(G)]]/P_FACT[[#This Row],[منفذ معتمد
(C)]],0)</f>
        <v>0</v>
      </c>
      <c r="T21" s="5">
        <v>711201.08679931401</v>
      </c>
      <c r="U21" s="4">
        <f>IF(P_FACT[[#This Row],[منفذ معتمد
(C)]]&gt;0,P_FACT[[#This Row],[الربحية
(I)]]/P_FACT[[#This Row],[منفذ معتمد
(C)]],0)</f>
        <v>4.7376566671291552E-2</v>
      </c>
      <c r="V21" s="5">
        <v>1491347.7478873529</v>
      </c>
      <c r="W21" s="4">
        <f>IF(P_FACT[[#This Row],[منفذ معتمد
(C)]]&gt;0,P_FACT[[#This Row],[الاجور
(J)]]/P_FACT[[#This Row],[منفذ معتمد
(C)]],0)</f>
        <v>9.9345933687813706E-2</v>
      </c>
      <c r="X21" s="6">
        <v>44692</v>
      </c>
      <c r="Y21" s="6">
        <v>45965</v>
      </c>
      <c r="Z21" s="2">
        <f>P_FACT[[#This Row],[تاريخ نهو المشروع المعدل شامل مد مدة الزمنى]]-P_FACT[[#This Row],[تاريخ بدء المشروع التعاقدى]]</f>
        <v>1273</v>
      </c>
      <c r="AA21" s="2">
        <f>P_FACT[[#This Row],[تاريخ نهو المشروع المعدل شامل مد مدة الزمنى]]-P_FACT[[#This Row],[تاريخ تحديث البيان]]</f>
        <v>-269</v>
      </c>
      <c r="AB21" s="3">
        <f>(P_FACT[[#This Row],[اجمالى المدة الزمنية المعتمدة]]-P_FACT[[#This Row],[المدة المنقضبة]])/P_FACT[[#This Row],[اجمالى المدة الزمنية المعتمدة]]</f>
        <v>1.211311861743912</v>
      </c>
    </row>
    <row r="22" spans="1:28" ht="22.5" customHeight="1" x14ac:dyDescent="0.3">
      <c r="A22" s="7" t="str" cm="1">
        <f t="array" ref="A22">_xlfn.XLOOKUP(P_FACT[[#This Row],[PROJECT ID]],Table3[PROJECT ID],Sheet1!$D$2:$D$142)</f>
        <v>شركة المقاولون العرب النيجيرية</v>
      </c>
      <c r="B22" s="5">
        <v>1063</v>
      </c>
      <c r="C22" s="5" t="s">
        <v>110</v>
      </c>
      <c r="D22" s="6">
        <v>46234</v>
      </c>
      <c r="E22" s="5" t="s">
        <v>114</v>
      </c>
      <c r="F22" s="10" t="s">
        <v>210</v>
      </c>
      <c r="G22" s="5">
        <v>79551256.394993275</v>
      </c>
      <c r="H22" s="5">
        <v>60509780.446039058</v>
      </c>
      <c r="I22" s="4">
        <f>P_FACT[[#This Row],[منفذ شامل مستخلص داخلى
(B)]]/P_FACT[[#This Row],[اجمالى القيمة التعاقدية
(A)]]</f>
        <v>0.76063890362198439</v>
      </c>
      <c r="J22" s="5">
        <v>60305923.47209198</v>
      </c>
      <c r="K22" s="4">
        <f>P_FACT[[#This Row],[منفذ معتمد
(C)]]/P_FACT[[#This Row],[اجمالى القيمة التعاقدية
(A)]]</f>
        <v>0.75807631714396728</v>
      </c>
      <c r="L22" s="5">
        <v>51015110.951196641</v>
      </c>
      <c r="M22" s="4">
        <f>IF(P_FACT[[#This Row],[منفذ معتمد
(C)]]&gt;0,P_FACT[[#This Row],[اعمال مسدده
(D)]]/P_FACT[[#This Row],[منفذ معتمد
(C)]],0)</f>
        <v>0.84593864108233274</v>
      </c>
      <c r="N22" s="5">
        <v>44207025.816447176</v>
      </c>
      <c r="O22" s="4">
        <f>IF(P_FACT[[#This Row],[منفذ معتمد
(C)]]&gt;0,P_FACT[[#This Row],[سيولة محصلة
(F)]]/P_FACT[[#This Row],[منفذ معتمد
(C)]],0)</f>
        <v>0.73304616315020932</v>
      </c>
      <c r="P22" s="5">
        <v>9290812.5208953395</v>
      </c>
      <c r="Q22" s="4">
        <f>IF(P_FACT[[#This Row],[منفذ شامل مستخلص داخلى
(B)]]&gt;0,P_FACT[[#This Row],[الاعمال القابلة للصرف
(H)]]/P_FACT[[#This Row],[منفذ شامل مستخلص داخلى
(B)]],0)</f>
        <v>0.15354232741235324</v>
      </c>
      <c r="R22" s="5">
        <v>203856.97394707872</v>
      </c>
      <c r="S22" s="4">
        <f>IF(P_FACT[[#This Row],[منفذ معتمد
(C)]]&gt;0,P_FACT[[#This Row],[غير قابلة للصرف
(G)]]/P_FACT[[#This Row],[منفذ معتمد
(C)]],0)</f>
        <v>3.3803806029339464E-3</v>
      </c>
      <c r="T22" s="5">
        <v>4833636.4027398378</v>
      </c>
      <c r="U22" s="4">
        <f>IF(P_FACT[[#This Row],[منفذ معتمد
(C)]]&gt;0,P_FACT[[#This Row],[الربحية
(I)]]/P_FACT[[#This Row],[منفذ معتمد
(C)]],0)</f>
        <v>8.0151934079522383E-2</v>
      </c>
      <c r="V22" s="5">
        <v>4803507.3877767352</v>
      </c>
      <c r="W22" s="4">
        <f>IF(P_FACT[[#This Row],[منفذ معتمد
(C)]]&gt;0,P_FACT[[#This Row],[الاجور
(J)]]/P_FACT[[#This Row],[منفذ معتمد
(C)]],0)</f>
        <v>7.9652331167761228E-2</v>
      </c>
      <c r="X22" s="6">
        <v>43256</v>
      </c>
      <c r="Y22" s="6">
        <v>46471</v>
      </c>
      <c r="Z22" s="2">
        <f>P_FACT[[#This Row],[تاريخ نهو المشروع المعدل شامل مد مدة الزمنى]]-P_FACT[[#This Row],[تاريخ بدء المشروع التعاقدى]]</f>
        <v>3215</v>
      </c>
      <c r="AA22" s="2">
        <f>P_FACT[[#This Row],[تاريخ نهو المشروع المعدل شامل مد مدة الزمنى]]-P_FACT[[#This Row],[تاريخ تحديث البيان]]</f>
        <v>237</v>
      </c>
      <c r="AB22" s="3">
        <f>(P_FACT[[#This Row],[اجمالى المدة الزمنية المعتمدة]]-P_FACT[[#This Row],[المدة المنقضبة]])/P_FACT[[#This Row],[اجمالى المدة الزمنية المعتمدة]]</f>
        <v>0.92628304821150853</v>
      </c>
    </row>
    <row r="23" spans="1:28" ht="22.5" customHeight="1" x14ac:dyDescent="0.3">
      <c r="A23" s="8" t="str" cm="1">
        <f t="array" ref="A23">_xlfn.XLOOKUP(P_FACT[[#This Row],[PROJECT ID]],Table3[PROJECT ID],Sheet1!$D$2:$D$142)</f>
        <v>فرع الكويت</v>
      </c>
      <c r="B23" s="5">
        <v>1029</v>
      </c>
      <c r="C23" s="5" t="s">
        <v>152</v>
      </c>
      <c r="D23" s="6">
        <v>46234</v>
      </c>
      <c r="E23" s="5" t="s">
        <v>150</v>
      </c>
      <c r="F23" s="10" t="s">
        <v>151</v>
      </c>
      <c r="G23" s="5">
        <v>409318186.77227825</v>
      </c>
      <c r="H23" s="5">
        <v>235151118.31999364</v>
      </c>
      <c r="I23" s="4">
        <f>P_FACT[[#This Row],[منفذ شامل مستخلص داخلى
(B)]]/P_FACT[[#This Row],[اجمالى القيمة التعاقدية
(A)]]</f>
        <v>0.57449467411722555</v>
      </c>
      <c r="J23" s="5">
        <v>235151118.31999364</v>
      </c>
      <c r="K23" s="4">
        <f>P_FACT[[#This Row],[منفذ معتمد
(C)]]/P_FACT[[#This Row],[اجمالى القيمة التعاقدية
(A)]]</f>
        <v>0.57449467411722555</v>
      </c>
      <c r="L23" s="5">
        <v>221912671.69582024</v>
      </c>
      <c r="M23" s="4">
        <f>IF(P_FACT[[#This Row],[منفذ معتمد
(C)]]&gt;0,P_FACT[[#This Row],[اعمال مسدده
(D)]]/P_FACT[[#This Row],[منفذ معتمد
(C)]],0)</f>
        <v>0.94370238713405341</v>
      </c>
      <c r="N23" s="5">
        <v>229557588.51678261</v>
      </c>
      <c r="O23" s="4">
        <f>IF(P_FACT[[#This Row],[منفذ معتمد
(C)]]&gt;0,P_FACT[[#This Row],[سيولة محصلة
(F)]]/P_FACT[[#This Row],[منفذ معتمد
(C)]],0)</f>
        <v>0.97621304188058611</v>
      </c>
      <c r="P23" s="5">
        <v>13238446.624173416</v>
      </c>
      <c r="Q23" s="4">
        <f>IF(P_FACT[[#This Row],[منفذ شامل مستخلص داخلى
(B)]]&gt;0,P_FACT[[#This Row],[الاعمال القابلة للصرف
(H)]]/P_FACT[[#This Row],[منفذ شامل مستخلص داخلى
(B)]],0)</f>
        <v>5.6297612865946645E-2</v>
      </c>
      <c r="R23" s="5">
        <v>0</v>
      </c>
      <c r="S23" s="4">
        <f>IF(P_FACT[[#This Row],[منفذ معتمد
(C)]]&gt;0,P_FACT[[#This Row],[غير قابلة للصرف
(G)]]/P_FACT[[#This Row],[منفذ معتمد
(C)]],0)</f>
        <v>0</v>
      </c>
      <c r="T23" s="5">
        <v>2268601.9967703274</v>
      </c>
      <c r="U23" s="4">
        <f>IF(P_FACT[[#This Row],[منفذ معتمد
(C)]]&gt;0,P_FACT[[#This Row],[الربحية
(I)]]/P_FACT[[#This Row],[منفذ معتمد
(C)]],0)</f>
        <v>9.6474216792080646E-3</v>
      </c>
      <c r="V23" s="5">
        <v>15522175.788692608</v>
      </c>
      <c r="W23" s="4">
        <f>IF(P_FACT[[#This Row],[منفذ معتمد
(C)]]&gt;0,P_FACT[[#This Row],[الاجور
(J)]]/P_FACT[[#This Row],[منفذ معتمد
(C)]],0)</f>
        <v>6.6009364104192905E-2</v>
      </c>
      <c r="X23" s="6">
        <v>45663</v>
      </c>
      <c r="Y23" s="6">
        <v>46757</v>
      </c>
      <c r="Z23" s="2">
        <f>P_FACT[[#This Row],[تاريخ نهو المشروع المعدل شامل مد مدة الزمنى]]-P_FACT[[#This Row],[تاريخ بدء المشروع التعاقدى]]</f>
        <v>1094</v>
      </c>
      <c r="AA23" s="2">
        <f>P_FACT[[#This Row],[تاريخ نهو المشروع المعدل شامل مد مدة الزمنى]]-P_FACT[[#This Row],[تاريخ تحديث البيان]]</f>
        <v>523</v>
      </c>
      <c r="AB23" s="3">
        <f>(P_FACT[[#This Row],[اجمالى المدة الزمنية المعتمدة]]-P_FACT[[#This Row],[المدة المنقضبة]])/P_FACT[[#This Row],[اجمالى المدة الزمنية المعتمدة]]</f>
        <v>0.5219378427787934</v>
      </c>
    </row>
    <row r="24" spans="1:28" ht="22.5" customHeight="1" x14ac:dyDescent="0.3">
      <c r="A24" s="7" t="str" cm="1">
        <f t="array" ref="A24">_xlfn.XLOOKUP(P_FACT[[#This Row],[PROJECT ID]],Table3[PROJECT ID],Sheet1!$D$2:$D$142)</f>
        <v>شركة المقاولون العرب النيجيرية</v>
      </c>
      <c r="B24" s="5">
        <v>1060</v>
      </c>
      <c r="C24" s="5" t="s">
        <v>110</v>
      </c>
      <c r="D24" s="6">
        <v>46234</v>
      </c>
      <c r="E24" s="5" t="s">
        <v>115</v>
      </c>
      <c r="F24" s="10" t="s">
        <v>211</v>
      </c>
      <c r="G24" s="5">
        <v>54275579.08158832</v>
      </c>
      <c r="H24" s="5">
        <v>54274302.708749674</v>
      </c>
      <c r="I24" s="4">
        <f>P_FACT[[#This Row],[منفذ شامل مستخلص داخلى
(B)]]/P_FACT[[#This Row],[اجمالى القيمة التعاقدية
(A)]]</f>
        <v>0.99997648347820067</v>
      </c>
      <c r="J24" s="5">
        <v>54274302.708749674</v>
      </c>
      <c r="K24" s="4">
        <f>P_FACT[[#This Row],[منفذ معتمد
(C)]]/P_FACT[[#This Row],[اجمالى القيمة التعاقدية
(A)]]</f>
        <v>0.99997648347820067</v>
      </c>
      <c r="L24" s="5">
        <v>38274785.884959593</v>
      </c>
      <c r="M24" s="4">
        <f>IF(P_FACT[[#This Row],[منفذ معتمد
(C)]]&gt;0,P_FACT[[#This Row],[اعمال مسدده
(D)]]/P_FACT[[#This Row],[منفذ معتمد
(C)]],0)</f>
        <v>0.70521008976112065</v>
      </c>
      <c r="N24" s="5">
        <v>44980504.987401165</v>
      </c>
      <c r="O24" s="4">
        <f>IF(P_FACT[[#This Row],[منفذ معتمد
(C)]]&gt;0,P_FACT[[#This Row],[سيولة محصلة
(F)]]/P_FACT[[#This Row],[منفذ معتمد
(C)]],0)</f>
        <v>0.8287624666276876</v>
      </c>
      <c r="P24" s="5">
        <v>15999516.823790077</v>
      </c>
      <c r="Q24" s="4">
        <f>IF(P_FACT[[#This Row],[منفذ شامل مستخلص داخلى
(B)]]&gt;0,P_FACT[[#This Row],[الاعمال القابلة للصرف
(H)]]/P_FACT[[#This Row],[منفذ شامل مستخلص داخلى
(B)]],0)</f>
        <v>0.29478991023887924</v>
      </c>
      <c r="R24" s="5">
        <v>0</v>
      </c>
      <c r="S24" s="4">
        <f>IF(P_FACT[[#This Row],[منفذ معتمد
(C)]]&gt;0,P_FACT[[#This Row],[غير قابلة للصرف
(G)]]/P_FACT[[#This Row],[منفذ معتمد
(C)]],0)</f>
        <v>0</v>
      </c>
      <c r="T24" s="5">
        <v>3208406.1756017031</v>
      </c>
      <c r="U24" s="4">
        <f>IF(P_FACT[[#This Row],[منفذ معتمد
(C)]]&gt;0,P_FACT[[#This Row],[الربحية
(I)]]/P_FACT[[#This Row],[منفذ معتمد
(C)]],0)</f>
        <v>5.9114645706622213E-2</v>
      </c>
      <c r="V24" s="5">
        <v>6089978.1888087578</v>
      </c>
      <c r="W24" s="4">
        <f>IF(P_FACT[[#This Row],[منفذ معتمد
(C)]]&gt;0,P_FACT[[#This Row],[الاجور
(J)]]/P_FACT[[#This Row],[منفذ معتمد
(C)]],0)</f>
        <v>0.11220739622375618</v>
      </c>
      <c r="X24" s="6">
        <v>43599</v>
      </c>
      <c r="Y24" s="6">
        <v>46424</v>
      </c>
      <c r="Z24" s="2">
        <f>P_FACT[[#This Row],[تاريخ نهو المشروع المعدل شامل مد مدة الزمنى]]-P_FACT[[#This Row],[تاريخ بدء المشروع التعاقدى]]</f>
        <v>2825</v>
      </c>
      <c r="AA24" s="2">
        <f>P_FACT[[#This Row],[تاريخ نهو المشروع المعدل شامل مد مدة الزمنى]]-P_FACT[[#This Row],[تاريخ تحديث البيان]]</f>
        <v>190</v>
      </c>
      <c r="AB24" s="3">
        <f>(P_FACT[[#This Row],[اجمالى المدة الزمنية المعتمدة]]-P_FACT[[#This Row],[المدة المنقضبة]])/P_FACT[[#This Row],[اجمالى المدة الزمنية المعتمدة]]</f>
        <v>0.93274336283185844</v>
      </c>
    </row>
    <row r="25" spans="1:28" ht="22.5" customHeight="1" x14ac:dyDescent="0.3">
      <c r="A25" s="8" t="str" cm="1">
        <f t="array" ref="A25">_xlfn.XLOOKUP(P_FACT[[#This Row],[PROJECT ID]],Table3[PROJECT ID],Sheet1!$D$2:$D$142)</f>
        <v>شركة المقاولون العرب النيجيرية</v>
      </c>
      <c r="B25" s="5">
        <v>1058</v>
      </c>
      <c r="C25" s="5" t="s">
        <v>110</v>
      </c>
      <c r="D25" s="6">
        <v>46234</v>
      </c>
      <c r="E25" s="5" t="s">
        <v>116</v>
      </c>
      <c r="F25" s="10" t="s">
        <v>212</v>
      </c>
      <c r="G25" s="5">
        <v>29352225.957931034</v>
      </c>
      <c r="H25" s="5">
        <v>8913655.9944827594</v>
      </c>
      <c r="I25" s="4">
        <f>P_FACT[[#This Row],[منفذ شامل مستخلص داخلى
(B)]]/P_FACT[[#This Row],[اجمالى القيمة التعاقدية
(A)]]</f>
        <v>0.30367904659967604</v>
      </c>
      <c r="J25" s="5">
        <v>8913655.9944827594</v>
      </c>
      <c r="K25" s="4">
        <f>P_FACT[[#This Row],[منفذ معتمد
(C)]]/P_FACT[[#This Row],[اجمالى القيمة التعاقدية
(A)]]</f>
        <v>0.30367904659967604</v>
      </c>
      <c r="L25" s="5">
        <v>4836077.3434482757</v>
      </c>
      <c r="M25" s="4">
        <f>IF(P_FACT[[#This Row],[منفذ معتمد
(C)]]&gt;0,P_FACT[[#This Row],[اعمال مسدده
(D)]]/P_FACT[[#This Row],[منفذ معتمد
(C)]],0)</f>
        <v>0.54254700276089163</v>
      </c>
      <c r="N25" s="5">
        <v>9395519.9875862077</v>
      </c>
      <c r="O25" s="4">
        <f>IF(P_FACT[[#This Row],[منفذ معتمد
(C)]]&gt;0,P_FACT[[#This Row],[سيولة محصلة
(F)]]/P_FACT[[#This Row],[منفذ معتمد
(C)]],0)</f>
        <v>1.0540590744585281</v>
      </c>
      <c r="P25" s="5">
        <v>4077578.6510344828</v>
      </c>
      <c r="Q25" s="4">
        <f>IF(P_FACT[[#This Row],[منفذ شامل مستخلص داخلى
(B)]]&gt;0,P_FACT[[#This Row],[الاعمال القابلة للصرف
(H)]]/P_FACT[[#This Row],[منفذ شامل مستخلص داخلى
(B)]],0)</f>
        <v>0.45745299723910826</v>
      </c>
      <c r="R25" s="5">
        <v>0</v>
      </c>
      <c r="S25" s="4">
        <f>IF(P_FACT[[#This Row],[منفذ معتمد
(C)]]&gt;0,P_FACT[[#This Row],[غير قابلة للصرف
(G)]]/P_FACT[[#This Row],[منفذ معتمد
(C)]],0)</f>
        <v>0</v>
      </c>
      <c r="T25" s="5">
        <v>406328.59793103446</v>
      </c>
      <c r="U25" s="4">
        <f>IF(P_FACT[[#This Row],[منفذ معتمد
(C)]]&gt;0,P_FACT[[#This Row],[الربحية
(I)]]/P_FACT[[#This Row],[منفذ معتمد
(C)]],0)</f>
        <v>4.5584953938376985E-2</v>
      </c>
      <c r="V25" s="5">
        <v>811822.03379310342</v>
      </c>
      <c r="W25" s="4">
        <f>IF(P_FACT[[#This Row],[منفذ معتمد
(C)]]&gt;0,P_FACT[[#This Row],[الاجور
(J)]]/P_FACT[[#This Row],[منفذ معتمد
(C)]],0)</f>
        <v>9.1076213205399978E-2</v>
      </c>
      <c r="X25" s="6">
        <v>45387</v>
      </c>
      <c r="Y25" s="6">
        <v>46569</v>
      </c>
      <c r="Z25" s="2">
        <f>P_FACT[[#This Row],[تاريخ نهو المشروع المعدل شامل مد مدة الزمنى]]-P_FACT[[#This Row],[تاريخ بدء المشروع التعاقدى]]</f>
        <v>1182</v>
      </c>
      <c r="AA25" s="2">
        <f>P_FACT[[#This Row],[تاريخ نهو المشروع المعدل شامل مد مدة الزمنى]]-P_FACT[[#This Row],[تاريخ تحديث البيان]]</f>
        <v>335</v>
      </c>
      <c r="AB25" s="3">
        <f>(P_FACT[[#This Row],[اجمالى المدة الزمنية المعتمدة]]-P_FACT[[#This Row],[المدة المنقضبة]])/P_FACT[[#This Row],[اجمالى المدة الزمنية المعتمدة]]</f>
        <v>0.71658206429780036</v>
      </c>
    </row>
    <row r="26" spans="1:28" ht="22.5" customHeight="1" x14ac:dyDescent="0.3">
      <c r="A26" s="7" t="str" cm="1">
        <f t="array" ref="A26">_xlfn.XLOOKUP(P_FACT[[#This Row],[PROJECT ID]],Table3[PROJECT ID],Sheet1!$D$2:$D$142)</f>
        <v>شركة المقاولون العرب النيجيرية</v>
      </c>
      <c r="B26" s="5">
        <v>1064</v>
      </c>
      <c r="C26" s="5" t="s">
        <v>110</v>
      </c>
      <c r="D26" s="6">
        <v>46234</v>
      </c>
      <c r="E26" s="5" t="s">
        <v>117</v>
      </c>
      <c r="F26" s="10" t="s">
        <v>213</v>
      </c>
      <c r="G26" s="5">
        <v>122104242.57777777</v>
      </c>
      <c r="H26" s="5">
        <v>120404306.4711111</v>
      </c>
      <c r="I26" s="4">
        <f>P_FACT[[#This Row],[منفذ شامل مستخلص داخلى
(B)]]/P_FACT[[#This Row],[اجمالى القيمة التعاقدية
(A)]]</f>
        <v>0.98607799310835698</v>
      </c>
      <c r="J26" s="5">
        <v>120404306.4711111</v>
      </c>
      <c r="K26" s="4">
        <f>P_FACT[[#This Row],[منفذ معتمد
(C)]]/P_FACT[[#This Row],[اجمالى القيمة التعاقدية
(A)]]</f>
        <v>0.98607799310835698</v>
      </c>
      <c r="L26" s="5">
        <v>114980651.27333333</v>
      </c>
      <c r="M26" s="4">
        <f>IF(P_FACT[[#This Row],[منفذ معتمد
(C)]]&gt;0,P_FACT[[#This Row],[اعمال مسدده
(D)]]/P_FACT[[#This Row],[منفذ معتمد
(C)]],0)</f>
        <v>0.95495464110264949</v>
      </c>
      <c r="N26" s="5">
        <v>97575798.917777777</v>
      </c>
      <c r="O26" s="4">
        <f>IF(P_FACT[[#This Row],[منفذ معتمد
(C)]]&gt;0,P_FACT[[#This Row],[سيولة محصلة
(F)]]/P_FACT[[#This Row],[منفذ معتمد
(C)]],0)</f>
        <v>0.81040123711180856</v>
      </c>
      <c r="P26" s="5">
        <v>5423655.1977777779</v>
      </c>
      <c r="Q26" s="4">
        <f>IF(P_FACT[[#This Row],[منفذ شامل مستخلص داخلى
(B)]]&gt;0,P_FACT[[#This Row],[الاعمال القابلة للصرف
(H)]]/P_FACT[[#This Row],[منفذ شامل مستخلص داخلى
(B)]],0)</f>
        <v>4.5045358897350472E-2</v>
      </c>
      <c r="R26" s="5">
        <v>0</v>
      </c>
      <c r="S26" s="4">
        <f>IF(P_FACT[[#This Row],[منفذ معتمد
(C)]]&gt;0,P_FACT[[#This Row],[غير قابلة للصرف
(G)]]/P_FACT[[#This Row],[منفذ معتمد
(C)]],0)</f>
        <v>0</v>
      </c>
      <c r="T26" s="5">
        <v>7075213.0844444446</v>
      </c>
      <c r="U26" s="4">
        <f>IF(P_FACT[[#This Row],[منفذ معتمد
(C)]]&gt;0,P_FACT[[#This Row],[الربحية
(I)]]/P_FACT[[#This Row],[منفذ معتمد
(C)]],0)</f>
        <v>5.8762126470468211E-2</v>
      </c>
      <c r="V26" s="5">
        <v>10028984.397777777</v>
      </c>
      <c r="W26" s="4">
        <f>IF(P_FACT[[#This Row],[منفذ معتمد
(C)]]&gt;0,P_FACT[[#This Row],[الاجور
(J)]]/P_FACT[[#This Row],[منفذ معتمد
(C)]],0)</f>
        <v>8.3294233335284032E-2</v>
      </c>
      <c r="X26" s="6">
        <v>44599</v>
      </c>
      <c r="Y26" s="6">
        <v>46178</v>
      </c>
      <c r="Z26" s="2">
        <f>P_FACT[[#This Row],[تاريخ نهو المشروع المعدل شامل مد مدة الزمنى]]-P_FACT[[#This Row],[تاريخ بدء المشروع التعاقدى]]</f>
        <v>1579</v>
      </c>
      <c r="AA26" s="2">
        <f>P_FACT[[#This Row],[تاريخ نهو المشروع المعدل شامل مد مدة الزمنى]]-P_FACT[[#This Row],[تاريخ تحديث البيان]]</f>
        <v>-56</v>
      </c>
      <c r="AB26" s="3">
        <f>(P_FACT[[#This Row],[اجمالى المدة الزمنية المعتمدة]]-P_FACT[[#This Row],[المدة المنقضبة]])/P_FACT[[#This Row],[اجمالى المدة الزمنية المعتمدة]]</f>
        <v>1.0354654844838505</v>
      </c>
    </row>
    <row r="27" spans="1:28" ht="22.5" customHeight="1" x14ac:dyDescent="0.3">
      <c r="A27" s="8" t="str" cm="1">
        <f t="array" ref="A27">_xlfn.XLOOKUP(P_FACT[[#This Row],[PROJECT ID]],Table3[PROJECT ID],Sheet1!$D$2:$D$142)</f>
        <v>شركة المقاولون العرب النيجيرية</v>
      </c>
      <c r="B27" s="5">
        <v>1114</v>
      </c>
      <c r="C27" s="5" t="s">
        <v>110</v>
      </c>
      <c r="D27" s="6">
        <v>46234</v>
      </c>
      <c r="E27" s="5" t="s">
        <v>175</v>
      </c>
      <c r="F27" s="10" t="s">
        <v>214</v>
      </c>
      <c r="G27" s="5">
        <v>37880255.027272724</v>
      </c>
      <c r="H27" s="5">
        <v>5214847.4654545458</v>
      </c>
      <c r="I27" s="4">
        <f>P_FACT[[#This Row],[منفذ شامل مستخلص داخلى
(B)]]/P_FACT[[#This Row],[اجمالى القيمة التعاقدية
(A)]]</f>
        <v>0.1376666408845453</v>
      </c>
      <c r="J27" s="5">
        <v>4548180.7987878788</v>
      </c>
      <c r="K27" s="4">
        <f>P_FACT[[#This Row],[منفذ معتمد
(C)]]/P_FACT[[#This Row],[اجمالى القيمة التعاقدية
(A)]]</f>
        <v>0.12006732255401438</v>
      </c>
      <c r="L27" s="5">
        <v>2427176.8563636364</v>
      </c>
      <c r="M27" s="4">
        <f>IF(P_FACT[[#This Row],[منفذ معتمد
(C)]]&gt;0,P_FACT[[#This Row],[اعمال مسدده
(D)]]/P_FACT[[#This Row],[منفذ معتمد
(C)]],0)</f>
        <v>0.53365883278221826</v>
      </c>
      <c r="N27" s="5">
        <v>5784195.0721212123</v>
      </c>
      <c r="O27" s="4">
        <f>IF(P_FACT[[#This Row],[منفذ معتمد
(C)]]&gt;0,P_FACT[[#This Row],[سيولة محصلة
(F)]]/P_FACT[[#This Row],[منفذ معتمد
(C)]],0)</f>
        <v>1.2717601449930793</v>
      </c>
      <c r="P27" s="5">
        <v>2121003.9424242424</v>
      </c>
      <c r="Q27" s="4">
        <f>IF(P_FACT[[#This Row],[منفذ شامل مستخلص داخلى
(B)]]&gt;0,P_FACT[[#This Row],[الاعمال القابلة للصرف
(H)]]/P_FACT[[#This Row],[منفذ شامل مستخلص داخلى
(B)]],0)</f>
        <v>0.40672406172466402</v>
      </c>
      <c r="R27" s="5">
        <v>666666.66666666663</v>
      </c>
      <c r="S27" s="4">
        <f>IF(P_FACT[[#This Row],[منفذ معتمد
(C)]]&gt;0,P_FACT[[#This Row],[غير قابلة للصرف
(G)]]/P_FACT[[#This Row],[منفذ معتمد
(C)]],0)</f>
        <v>0.14657875228802203</v>
      </c>
      <c r="T27" s="5">
        <v>182519.66121212122</v>
      </c>
      <c r="U27" s="4">
        <f>IF(P_FACT[[#This Row],[منفذ معتمد
(C)]]&gt;0,P_FACT[[#This Row],[الربحية
(I)]]/P_FACT[[#This Row],[منفذ معتمد
(C)]],0)</f>
        <v>4.013025631275783E-2</v>
      </c>
      <c r="V27" s="5">
        <v>521484.74666666664</v>
      </c>
      <c r="W27" s="4">
        <f>IF(P_FACT[[#This Row],[منفذ معتمد
(C)]]&gt;0,P_FACT[[#This Row],[الاجور
(J)]]/P_FACT[[#This Row],[منفذ معتمد
(C)]],0)</f>
        <v>0.11465787525545287</v>
      </c>
      <c r="X27" s="6">
        <v>45699</v>
      </c>
      <c r="Y27" s="6">
        <v>46330</v>
      </c>
      <c r="Z27" s="2">
        <f>P_FACT[[#This Row],[تاريخ نهو المشروع المعدل شامل مد مدة الزمنى]]-P_FACT[[#This Row],[تاريخ بدء المشروع التعاقدى]]</f>
        <v>631</v>
      </c>
      <c r="AA27" s="2">
        <f>P_FACT[[#This Row],[تاريخ نهو المشروع المعدل شامل مد مدة الزمنى]]-P_FACT[[#This Row],[تاريخ تحديث البيان]]</f>
        <v>96</v>
      </c>
      <c r="AB27" s="3">
        <f>(P_FACT[[#This Row],[اجمالى المدة الزمنية المعتمدة]]-P_FACT[[#This Row],[المدة المنقضبة]])/P_FACT[[#This Row],[اجمالى المدة الزمنية المعتمدة]]</f>
        <v>0.84786053882725831</v>
      </c>
    </row>
    <row r="28" spans="1:28" ht="22.5" customHeight="1" x14ac:dyDescent="0.3">
      <c r="A28" s="7" t="str" cm="1">
        <f t="array" ref="A28">_xlfn.XLOOKUP(P_FACT[[#This Row],[PROJECT ID]],Table3[PROJECT ID],Sheet1!$D$2:$D$142)</f>
        <v>شركة المقاولون العرب النيجيرية</v>
      </c>
      <c r="B28" s="5">
        <v>1061</v>
      </c>
      <c r="C28" s="5" t="s">
        <v>110</v>
      </c>
      <c r="D28" s="6">
        <v>46234</v>
      </c>
      <c r="E28" s="5" t="s">
        <v>118</v>
      </c>
      <c r="F28" s="10" t="s">
        <v>215</v>
      </c>
      <c r="G28" s="5">
        <v>537683437.72093022</v>
      </c>
      <c r="H28" s="5">
        <v>23714966.632558141</v>
      </c>
      <c r="I28" s="4">
        <f>P_FACT[[#This Row],[منفذ شامل مستخلص داخلى
(B)]]/P_FACT[[#This Row],[اجمالى القيمة التعاقدية
(A)]]</f>
        <v>4.4105815743699255E-2</v>
      </c>
      <c r="J28" s="5">
        <v>23714966.632558141</v>
      </c>
      <c r="K28" s="4">
        <f>P_FACT[[#This Row],[منفذ معتمد
(C)]]/P_FACT[[#This Row],[اجمالى القيمة التعاقدية
(A)]]</f>
        <v>4.4105815743699255E-2</v>
      </c>
      <c r="L28" s="5">
        <v>8241121.9744186047</v>
      </c>
      <c r="M28" s="4">
        <f>IF(P_FACT[[#This Row],[منفذ معتمد
(C)]]&gt;0,P_FACT[[#This Row],[اعمال مسدده
(D)]]/P_FACT[[#This Row],[منفذ معتمد
(C)]],0)</f>
        <v>0.34750721357138303</v>
      </c>
      <c r="N28" s="5">
        <v>26204285.809302326</v>
      </c>
      <c r="O28" s="4">
        <f>IF(P_FACT[[#This Row],[منفذ معتمد
(C)]]&gt;0,P_FACT[[#This Row],[سيولة محصلة
(F)]]/P_FACT[[#This Row],[منفذ معتمد
(C)]],0)</f>
        <v>1.1049682765872677</v>
      </c>
      <c r="P28" s="5">
        <v>15473844.658139534</v>
      </c>
      <c r="Q28" s="4">
        <f>IF(P_FACT[[#This Row],[منفذ شامل مستخلص داخلى
(B)]]&gt;0,P_FACT[[#This Row],[الاعمال القابلة للصرف
(H)]]/P_FACT[[#This Row],[منفذ شامل مستخلص داخلى
(B)]],0)</f>
        <v>0.65249278642861686</v>
      </c>
      <c r="R28" s="5">
        <v>0</v>
      </c>
      <c r="S28" s="4">
        <f>IF(P_FACT[[#This Row],[منفذ معتمد
(C)]]&gt;0,P_FACT[[#This Row],[غير قابلة للصرف
(G)]]/P_FACT[[#This Row],[منفذ معتمد
(C)]],0)</f>
        <v>0</v>
      </c>
      <c r="T28" s="5">
        <v>115994.69534883721</v>
      </c>
      <c r="U28" s="4">
        <f>IF(P_FACT[[#This Row],[منفذ معتمد
(C)]]&gt;0,P_FACT[[#This Row],[الربحية
(I)]]/P_FACT[[#This Row],[منفذ معتمد
(C)]],0)</f>
        <v>4.8912021318043416E-3</v>
      </c>
      <c r="V28" s="5">
        <v>1677669.9325581396</v>
      </c>
      <c r="W28" s="4">
        <f>IF(P_FACT[[#This Row],[منفذ معتمد
(C)]]&gt;0,P_FACT[[#This Row],[الاجور
(J)]]/P_FACT[[#This Row],[منفذ معتمد
(C)]],0)</f>
        <v>7.0743086361963345E-2</v>
      </c>
      <c r="X28" s="6">
        <v>44883</v>
      </c>
      <c r="Y28" s="6">
        <v>47117</v>
      </c>
      <c r="Z28" s="2">
        <f>P_FACT[[#This Row],[تاريخ نهو المشروع المعدل شامل مد مدة الزمنى]]-P_FACT[[#This Row],[تاريخ بدء المشروع التعاقدى]]</f>
        <v>2234</v>
      </c>
      <c r="AA28" s="2">
        <f>P_FACT[[#This Row],[تاريخ نهو المشروع المعدل شامل مد مدة الزمنى]]-P_FACT[[#This Row],[تاريخ تحديث البيان]]</f>
        <v>883</v>
      </c>
      <c r="AB28" s="3">
        <f>(P_FACT[[#This Row],[اجمالى المدة الزمنية المعتمدة]]-P_FACT[[#This Row],[المدة المنقضبة]])/P_FACT[[#This Row],[اجمالى المدة الزمنية المعتمدة]]</f>
        <v>0.60474485228290065</v>
      </c>
    </row>
    <row r="29" spans="1:28" ht="22.5" customHeight="1" x14ac:dyDescent="0.3">
      <c r="A29" s="8" t="str" cm="1">
        <f t="array" ref="A29">_xlfn.XLOOKUP(P_FACT[[#This Row],[PROJECT ID]],Table3[PROJECT ID],Sheet1!$D$2:$D$142)</f>
        <v>شركة المقاولون العرب النيجيرية</v>
      </c>
      <c r="B29" s="5">
        <v>1105</v>
      </c>
      <c r="C29" s="5" t="s">
        <v>110</v>
      </c>
      <c r="D29" s="6">
        <v>46234</v>
      </c>
      <c r="E29" s="5" t="s">
        <v>160</v>
      </c>
      <c r="F29" s="10" t="s">
        <v>216</v>
      </c>
      <c r="G29" s="5">
        <v>31269904.63616278</v>
      </c>
      <c r="H29" s="5">
        <v>31269904.63616278</v>
      </c>
      <c r="I29" s="4">
        <f>P_FACT[[#This Row],[منفذ شامل مستخلص داخلى
(B)]]/P_FACT[[#This Row],[اجمالى القيمة التعاقدية
(A)]]</f>
        <v>1</v>
      </c>
      <c r="J29" s="5">
        <v>31269904.63616278</v>
      </c>
      <c r="K29" s="4">
        <f>P_FACT[[#This Row],[منفذ معتمد
(C)]]/P_FACT[[#This Row],[اجمالى القيمة التعاقدية
(A)]]</f>
        <v>1</v>
      </c>
      <c r="L29" s="5">
        <v>22197681.312807355</v>
      </c>
      <c r="M29" s="4">
        <f>IF(P_FACT[[#This Row],[منفذ معتمد
(C)]]&gt;0,P_FACT[[#This Row],[اعمال مسدده
(D)]]/P_FACT[[#This Row],[منفذ معتمد
(C)]],0)</f>
        <v>0.70987364915518003</v>
      </c>
      <c r="N29" s="5">
        <v>20099890.791818116</v>
      </c>
      <c r="O29" s="4">
        <f>IF(P_FACT[[#This Row],[منفذ معتمد
(C)]]&gt;0,P_FACT[[#This Row],[سيولة محصلة
(F)]]/P_FACT[[#This Row],[منفذ معتمد
(C)]],0)</f>
        <v>0.64278708316152489</v>
      </c>
      <c r="P29" s="5">
        <v>9072223.323355427</v>
      </c>
      <c r="Q29" s="4">
        <f>IF(P_FACT[[#This Row],[منفذ شامل مستخلص داخلى
(B)]]&gt;0,P_FACT[[#This Row],[الاعمال القابلة للصرف
(H)]]/P_FACT[[#This Row],[منفذ شامل مستخلص داخلى
(B)]],0)</f>
        <v>0.29012635084482002</v>
      </c>
      <c r="R29" s="5">
        <v>0</v>
      </c>
      <c r="S29" s="4">
        <f>IF(P_FACT[[#This Row],[منفذ معتمد
(C)]]&gt;0,P_FACT[[#This Row],[غير قابلة للصرف
(G)]]/P_FACT[[#This Row],[منفذ معتمد
(C)]],0)</f>
        <v>0</v>
      </c>
      <c r="T29" s="5">
        <v>1678516.2212244316</v>
      </c>
      <c r="U29" s="4">
        <f>IF(P_FACT[[#This Row],[منفذ معتمد
(C)]]&gt;0,P_FACT[[#This Row],[الربحية
(I)]]/P_FACT[[#This Row],[منفذ معتمد
(C)]],0)</f>
        <v>5.3678328755863043E-2</v>
      </c>
      <c r="V29" s="5">
        <v>3119030.7355142185</v>
      </c>
      <c r="W29" s="4">
        <f>IF(P_FACT[[#This Row],[منفذ معتمد
(C)]]&gt;0,P_FACT[[#This Row],[الاجور
(J)]]/P_FACT[[#This Row],[منفذ معتمد
(C)]],0)</f>
        <v>9.9745450835406313E-2</v>
      </c>
      <c r="X29" s="6">
        <v>40507</v>
      </c>
      <c r="Y29" s="6">
        <v>46128</v>
      </c>
      <c r="Z29" s="2">
        <f>P_FACT[[#This Row],[تاريخ نهو المشروع المعدل شامل مد مدة الزمنى]]-P_FACT[[#This Row],[تاريخ بدء المشروع التعاقدى]]</f>
        <v>5621</v>
      </c>
      <c r="AA29" s="2">
        <f>P_FACT[[#This Row],[تاريخ نهو المشروع المعدل شامل مد مدة الزمنى]]-P_FACT[[#This Row],[تاريخ تحديث البيان]]</f>
        <v>-106</v>
      </c>
      <c r="AB29" s="3">
        <f>(P_FACT[[#This Row],[اجمالى المدة الزمنية المعتمدة]]-P_FACT[[#This Row],[المدة المنقضبة]])/P_FACT[[#This Row],[اجمالى المدة الزمنية المعتمدة]]</f>
        <v>1.0188578544742928</v>
      </c>
    </row>
    <row r="30" spans="1:28" ht="22.5" customHeight="1" x14ac:dyDescent="0.3">
      <c r="A30" s="7" t="str" cm="1">
        <f t="array" ref="A30">_xlfn.XLOOKUP(P_FACT[[#This Row],[PROJECT ID]],Table3[PROJECT ID],Sheet1!$D$2:$D$142)</f>
        <v>شركة المقاولون العرب الغينية</v>
      </c>
      <c r="B30" s="5">
        <v>1066</v>
      </c>
      <c r="C30" s="5" t="s">
        <v>47</v>
      </c>
      <c r="D30" s="6">
        <v>46234</v>
      </c>
      <c r="E30" s="5" t="s">
        <v>52</v>
      </c>
      <c r="F30" s="10" t="s">
        <v>53</v>
      </c>
      <c r="G30" s="5">
        <v>24416666.666666668</v>
      </c>
      <c r="H30" s="5">
        <v>23667002.530000001</v>
      </c>
      <c r="I30" s="4">
        <f>P_FACT[[#This Row],[منفذ شامل مستخلص داخلى
(B)]]/P_FACT[[#This Row],[اجمالى القيمة التعاقدية
(A)]]</f>
        <v>0.96929703194539252</v>
      </c>
      <c r="J30" s="5">
        <v>23667002.530000001</v>
      </c>
      <c r="K30" s="4">
        <f>P_FACT[[#This Row],[منفذ معتمد
(C)]]/P_FACT[[#This Row],[اجمالى القيمة التعاقدية
(A)]]</f>
        <v>0.96929703194539252</v>
      </c>
      <c r="L30" s="5">
        <v>21329214.673333332</v>
      </c>
      <c r="M30" s="4">
        <f>IF(P_FACT[[#This Row],[منفذ معتمد
(C)]]&gt;0,P_FACT[[#This Row],[اعمال مسدده
(D)]]/P_FACT[[#This Row],[منفذ معتمد
(C)]],0)</f>
        <v>0.90122163321259974</v>
      </c>
      <c r="N30" s="5">
        <v>21329214.673333332</v>
      </c>
      <c r="O30" s="4">
        <f>IF(P_FACT[[#This Row],[منفذ معتمد
(C)]]&gt;0,P_FACT[[#This Row],[سيولة محصلة
(F)]]/P_FACT[[#This Row],[منفذ معتمد
(C)]],0)</f>
        <v>0.90122163321259974</v>
      </c>
      <c r="P30" s="5">
        <v>2337787.8566666665</v>
      </c>
      <c r="Q30" s="4">
        <f>IF(P_FACT[[#This Row],[منفذ شامل مستخلص داخلى
(B)]]&gt;0,P_FACT[[#This Row],[الاعمال القابلة للصرف
(H)]]/P_FACT[[#This Row],[منفذ شامل مستخلص داخلى
(B)]],0)</f>
        <v>9.877836678740011E-2</v>
      </c>
      <c r="R30" s="5">
        <v>0</v>
      </c>
      <c r="S30" s="4">
        <f>IF(P_FACT[[#This Row],[منفذ معتمد
(C)]]&gt;0,P_FACT[[#This Row],[غير قابلة للصرف
(G)]]/P_FACT[[#This Row],[منفذ معتمد
(C)]],0)</f>
        <v>0</v>
      </c>
      <c r="T30" s="5">
        <v>2911993.4472833332</v>
      </c>
      <c r="U30" s="4">
        <f>IF(P_FACT[[#This Row],[منفذ معتمد
(C)]]&gt;0,P_FACT[[#This Row],[الربحية
(I)]]/P_FACT[[#This Row],[منفذ معتمد
(C)]],0)</f>
        <v>0.12304023053160729</v>
      </c>
      <c r="V30" s="5">
        <v>4229742.8466666667</v>
      </c>
      <c r="W30" s="4">
        <f>IF(P_FACT[[#This Row],[منفذ معتمد
(C)]]&gt;0,P_FACT[[#This Row],[الاجور
(J)]]/P_FACT[[#This Row],[منفذ معتمد
(C)]],0)</f>
        <v>0.17871899245817449</v>
      </c>
      <c r="X30" s="6">
        <v>41394</v>
      </c>
      <c r="Y30" s="6">
        <v>42582</v>
      </c>
      <c r="Z30" s="2">
        <f>P_FACT[[#This Row],[تاريخ نهو المشروع المعدل شامل مد مدة الزمنى]]-P_FACT[[#This Row],[تاريخ بدء المشروع التعاقدى]]</f>
        <v>1188</v>
      </c>
      <c r="AA30" s="2">
        <f>P_FACT[[#This Row],[تاريخ نهو المشروع المعدل شامل مد مدة الزمنى]]-P_FACT[[#This Row],[تاريخ تحديث البيان]]</f>
        <v>-3652</v>
      </c>
      <c r="AB30" s="3">
        <f>(P_FACT[[#This Row],[اجمالى المدة الزمنية المعتمدة]]-P_FACT[[#This Row],[المدة المنقضبة]])/P_FACT[[#This Row],[اجمالى المدة الزمنية المعتمدة]]</f>
        <v>4.0740740740740744</v>
      </c>
    </row>
    <row r="31" spans="1:28" ht="22.5" customHeight="1" x14ac:dyDescent="0.3">
      <c r="A31" s="8" t="str" cm="1">
        <f t="array" ref="A31">_xlfn.XLOOKUP(P_FACT[[#This Row],[PROJECT ID]],Table3[PROJECT ID],Sheet1!$D$2:$D$142)</f>
        <v>شركة المقاولون العرب الغينية</v>
      </c>
      <c r="B31" s="5">
        <v>1067</v>
      </c>
      <c r="C31" s="5" t="s">
        <v>47</v>
      </c>
      <c r="D31" s="6">
        <v>46234</v>
      </c>
      <c r="E31" s="5" t="s">
        <v>50</v>
      </c>
      <c r="F31" s="10" t="s">
        <v>51</v>
      </c>
      <c r="G31" s="5">
        <v>43342698.561666667</v>
      </c>
      <c r="H31" s="5">
        <v>38499246.31666667</v>
      </c>
      <c r="I31" s="4">
        <f>P_FACT[[#This Row],[منفذ شامل مستخلص داخلى
(B)]]/P_FACT[[#This Row],[اجمالى القيمة التعاقدية
(A)]]</f>
        <v>0.88825217612814578</v>
      </c>
      <c r="J31" s="5">
        <v>38499246.31666667</v>
      </c>
      <c r="K31" s="4">
        <f>P_FACT[[#This Row],[منفذ معتمد
(C)]]/P_FACT[[#This Row],[اجمالى القيمة التعاقدية
(A)]]</f>
        <v>0.88825217612814578</v>
      </c>
      <c r="L31" s="5">
        <v>38267934.460000001</v>
      </c>
      <c r="M31" s="4">
        <f>IF(P_FACT[[#This Row],[منفذ معتمد
(C)]]&gt;0,P_FACT[[#This Row],[اعمال مسدده
(D)]]/P_FACT[[#This Row],[منفذ معتمد
(C)]],0)</f>
        <v>0.99399178220882389</v>
      </c>
      <c r="N31" s="5">
        <v>38267934.460000001</v>
      </c>
      <c r="O31" s="4">
        <f>IF(P_FACT[[#This Row],[منفذ معتمد
(C)]]&gt;0,P_FACT[[#This Row],[سيولة محصلة
(F)]]/P_FACT[[#This Row],[منفذ معتمد
(C)]],0)</f>
        <v>0.99399178220882389</v>
      </c>
      <c r="P31" s="5">
        <v>231311.85666666666</v>
      </c>
      <c r="Q31" s="4">
        <f>IF(P_FACT[[#This Row],[منفذ شامل مستخلص داخلى
(B)]]&gt;0,P_FACT[[#This Row],[الاعمال القابلة للصرف
(H)]]/P_FACT[[#This Row],[منفذ شامل مستخلص داخلى
(B)]],0)</f>
        <v>6.0082177911760749E-3</v>
      </c>
      <c r="R31" s="5">
        <v>0</v>
      </c>
      <c r="S31" s="4">
        <f>IF(P_FACT[[#This Row],[منفذ معتمد
(C)]]&gt;0,P_FACT[[#This Row],[غير قابلة للصرف
(G)]]/P_FACT[[#This Row],[منفذ معتمد
(C)]],0)</f>
        <v>0</v>
      </c>
      <c r="T31" s="5">
        <v>629557.83666666667</v>
      </c>
      <c r="U31" s="4">
        <f>IF(P_FACT[[#This Row],[منفذ معتمد
(C)]]&gt;0,P_FACT[[#This Row],[الربحية
(I)]]/P_FACT[[#This Row],[منفذ معتمد
(C)]],0)</f>
        <v>1.6352471720832765E-2</v>
      </c>
      <c r="V31" s="5">
        <v>4907609.9050000003</v>
      </c>
      <c r="W31" s="4">
        <f>IF(P_FACT[[#This Row],[منفذ معتمد
(C)]]&gt;0,P_FACT[[#This Row],[الاجور
(J)]]/P_FACT[[#This Row],[منفذ معتمد
(C)]],0)</f>
        <v>0.127472882576287</v>
      </c>
      <c r="X31" s="6">
        <v>41081</v>
      </c>
      <c r="Y31" s="6">
        <v>41810</v>
      </c>
      <c r="Z31" s="2">
        <f>P_FACT[[#This Row],[تاريخ نهو المشروع المعدل شامل مد مدة الزمنى]]-P_FACT[[#This Row],[تاريخ بدء المشروع التعاقدى]]</f>
        <v>729</v>
      </c>
      <c r="AA31" s="2">
        <f>P_FACT[[#This Row],[تاريخ نهو المشروع المعدل شامل مد مدة الزمنى]]-P_FACT[[#This Row],[تاريخ تحديث البيان]]</f>
        <v>-4424</v>
      </c>
      <c r="AB31" s="3">
        <f>(P_FACT[[#This Row],[اجمالى المدة الزمنية المعتمدة]]-P_FACT[[#This Row],[المدة المنقضبة]])/P_FACT[[#This Row],[اجمالى المدة الزمنية المعتمدة]]</f>
        <v>7.0685871056241423</v>
      </c>
    </row>
    <row r="32" spans="1:28" ht="22.5" customHeight="1" x14ac:dyDescent="0.3">
      <c r="A32" s="7" t="str" cm="1">
        <f t="array" ref="A32">_xlfn.XLOOKUP(P_FACT[[#This Row],[PROJECT ID]],Table3[PROJECT ID],Sheet1!$D$2:$D$142)</f>
        <v>شركة المقاولون العرب الغينية</v>
      </c>
      <c r="B32" s="5">
        <v>1068</v>
      </c>
      <c r="C32" s="5" t="s">
        <v>47</v>
      </c>
      <c r="D32" s="6">
        <v>46234</v>
      </c>
      <c r="E32" s="5" t="s">
        <v>48</v>
      </c>
      <c r="F32" s="10" t="s">
        <v>49</v>
      </c>
      <c r="G32" s="5">
        <v>33415388.585000001</v>
      </c>
      <c r="H32" s="5">
        <v>17484268.239999998</v>
      </c>
      <c r="I32" s="4">
        <f>P_FACT[[#This Row],[منفذ شامل مستخلص داخلى
(B)]]/P_FACT[[#This Row],[اجمالى القيمة التعاقدية
(A)]]</f>
        <v>0.52324000948020088</v>
      </c>
      <c r="J32" s="5">
        <v>17484268.239999998</v>
      </c>
      <c r="K32" s="4">
        <f>P_FACT[[#This Row],[منفذ معتمد
(C)]]/P_FACT[[#This Row],[اجمالى القيمة التعاقدية
(A)]]</f>
        <v>0.52324000948020088</v>
      </c>
      <c r="L32" s="5">
        <v>17194643.965</v>
      </c>
      <c r="M32" s="4">
        <f>IF(P_FACT[[#This Row],[منفذ معتمد
(C)]]&gt;0,P_FACT[[#This Row],[اعمال مسدده
(D)]]/P_FACT[[#This Row],[منفذ معتمد
(C)]],0)</f>
        <v>0.98343515032917395</v>
      </c>
      <c r="N32" s="5">
        <v>17194643.965</v>
      </c>
      <c r="O32" s="4">
        <f>IF(P_FACT[[#This Row],[منفذ معتمد
(C)]]&gt;0,P_FACT[[#This Row],[سيولة محصلة
(F)]]/P_FACT[[#This Row],[منفذ معتمد
(C)]],0)</f>
        <v>0.98343515032917395</v>
      </c>
      <c r="P32" s="5">
        <v>289624.27500000002</v>
      </c>
      <c r="Q32" s="4">
        <f>IF(P_FACT[[#This Row],[منفذ شامل مستخلص داخلى
(B)]]&gt;0,P_FACT[[#This Row],[الاعمال القابلة للصرف
(H)]]/P_FACT[[#This Row],[منفذ شامل مستخلص داخلى
(B)]],0)</f>
        <v>1.6564849670826148E-2</v>
      </c>
      <c r="R32" s="5">
        <v>0</v>
      </c>
      <c r="S32" s="4">
        <f>IF(P_FACT[[#This Row],[منفذ معتمد
(C)]]&gt;0,P_FACT[[#This Row],[غير قابلة للصرف
(G)]]/P_FACT[[#This Row],[منفذ معتمد
(C)]],0)</f>
        <v>0</v>
      </c>
      <c r="T32" s="5">
        <v>331868.33</v>
      </c>
      <c r="U32" s="4">
        <f>IF(P_FACT[[#This Row],[منفذ معتمد
(C)]]&gt;0,P_FACT[[#This Row],[الربحية
(I)]]/P_FACT[[#This Row],[منفذ معتمد
(C)]],0)</f>
        <v>1.8980967658729996E-2</v>
      </c>
      <c r="V32" s="5">
        <v>3620339.6633333336</v>
      </c>
      <c r="W32" s="4">
        <f>IF(P_FACT[[#This Row],[منفذ معتمد
(C)]]&gt;0,P_FACT[[#This Row],[الاجور
(J)]]/P_FACT[[#This Row],[منفذ معتمد
(C)]],0)</f>
        <v>0.20706269279550552</v>
      </c>
      <c r="X32" s="6">
        <v>41547</v>
      </c>
      <c r="Y32" s="6">
        <v>42643</v>
      </c>
      <c r="Z32" s="2">
        <f>P_FACT[[#This Row],[تاريخ نهو المشروع المعدل شامل مد مدة الزمنى]]-P_FACT[[#This Row],[تاريخ بدء المشروع التعاقدى]]</f>
        <v>1096</v>
      </c>
      <c r="AA32" s="2">
        <f>P_FACT[[#This Row],[تاريخ نهو المشروع المعدل شامل مد مدة الزمنى]]-P_FACT[[#This Row],[تاريخ تحديث البيان]]</f>
        <v>-3591</v>
      </c>
      <c r="AB32" s="3">
        <f>(P_FACT[[#This Row],[اجمالى المدة الزمنية المعتمدة]]-P_FACT[[#This Row],[المدة المنقضبة]])/P_FACT[[#This Row],[اجمالى المدة الزمنية المعتمدة]]</f>
        <v>4.2764598540145986</v>
      </c>
    </row>
    <row r="33" spans="1:28" ht="22.5" customHeight="1" x14ac:dyDescent="0.3">
      <c r="A33" s="8" t="str" cm="1">
        <f t="array" ref="A33">_xlfn.XLOOKUP(P_FACT[[#This Row],[PROJECT ID]],Table3[PROJECT ID],Sheet1!$D$2:$D$142)</f>
        <v>شركة المقاولون العرب الغينية</v>
      </c>
      <c r="B33" s="5">
        <v>1069</v>
      </c>
      <c r="C33" s="5" t="s">
        <v>47</v>
      </c>
      <c r="D33" s="6">
        <v>46234</v>
      </c>
      <c r="E33" s="5" t="s">
        <v>45</v>
      </c>
      <c r="F33" s="5" t="s">
        <v>46</v>
      </c>
      <c r="G33" s="5">
        <v>35315343.100000001</v>
      </c>
      <c r="H33" s="5">
        <v>32497561.59</v>
      </c>
      <c r="I33" s="4">
        <f>P_FACT[[#This Row],[منفذ شامل مستخلص داخلى
(B)]]/P_FACT[[#This Row],[اجمالى القيمة التعاقدية
(A)]]</f>
        <v>0.92021084144585297</v>
      </c>
      <c r="J33" s="5">
        <v>32497561.59</v>
      </c>
      <c r="K33" s="4">
        <f>P_FACT[[#This Row],[منفذ معتمد
(C)]]/P_FACT[[#This Row],[اجمالى القيمة التعاقدية
(A)]]</f>
        <v>0.92021084144585297</v>
      </c>
      <c r="L33" s="5">
        <v>26323990.41</v>
      </c>
      <c r="M33" s="4">
        <f>IF(P_FACT[[#This Row],[منفذ معتمد
(C)]]&gt;0,P_FACT[[#This Row],[اعمال مسدده
(D)]]/P_FACT[[#This Row],[منفذ معتمد
(C)]],0)</f>
        <v>0.81002971060143469</v>
      </c>
      <c r="N33" s="5">
        <v>26323990.41</v>
      </c>
      <c r="O33" s="4">
        <f>IF(P_FACT[[#This Row],[منفذ معتمد
(C)]]&gt;0,P_FACT[[#This Row],[سيولة محصلة
(F)]]/P_FACT[[#This Row],[منفذ معتمد
(C)]],0)</f>
        <v>0.81002971060143469</v>
      </c>
      <c r="P33" s="5">
        <v>6173571.1799999997</v>
      </c>
      <c r="Q33" s="4">
        <f>IF(P_FACT[[#This Row],[منفذ شامل مستخلص داخلى
(B)]]&gt;0,P_FACT[[#This Row],[الاعمال القابلة للصرف
(H)]]/P_FACT[[#This Row],[منفذ شامل مستخلص داخلى
(B)]],0)</f>
        <v>0.18997028939856531</v>
      </c>
      <c r="R33" s="5">
        <v>0</v>
      </c>
      <c r="S33" s="4">
        <f>IF(P_FACT[[#This Row],[منفذ معتمد
(C)]]&gt;0,P_FACT[[#This Row],[غير قابلة للصرف
(G)]]/P_FACT[[#This Row],[منفذ معتمد
(C)]],0)</f>
        <v>0</v>
      </c>
      <c r="T33" s="5">
        <v>3780045.63</v>
      </c>
      <c r="U33" s="4">
        <f>IF(P_FACT[[#This Row],[منفذ معتمد
(C)]]&gt;0,P_FACT[[#This Row],[الربحية
(I)]]/P_FACT[[#This Row],[منفذ معتمد
(C)]],0)</f>
        <v>0.11631782340134646</v>
      </c>
      <c r="V33" s="5">
        <v>4844637.1466666665</v>
      </c>
      <c r="W33" s="4">
        <f>IF(P_FACT[[#This Row],[منفذ معتمد
(C)]]&gt;0,P_FACT[[#This Row],[الاجور
(J)]]/P_FACT[[#This Row],[منفذ معتمد
(C)]],0)</f>
        <v>0.14907694330387655</v>
      </c>
      <c r="X33" s="6">
        <v>42370</v>
      </c>
      <c r="Y33" s="6">
        <v>43040</v>
      </c>
      <c r="Z33" s="2">
        <f>P_FACT[[#This Row],[تاريخ نهو المشروع المعدل شامل مد مدة الزمنى]]-P_FACT[[#This Row],[تاريخ بدء المشروع التعاقدى]]</f>
        <v>670</v>
      </c>
      <c r="AA33" s="2">
        <f>P_FACT[[#This Row],[تاريخ نهو المشروع المعدل شامل مد مدة الزمنى]]-P_FACT[[#This Row],[تاريخ تحديث البيان]]</f>
        <v>-3194</v>
      </c>
      <c r="AB33" s="3">
        <f>(P_FACT[[#This Row],[اجمالى المدة الزمنية المعتمدة]]-P_FACT[[#This Row],[المدة المنقضبة]])/P_FACT[[#This Row],[اجمالى المدة الزمنية المعتمدة]]</f>
        <v>5.7671641791044772</v>
      </c>
    </row>
    <row r="34" spans="1:28" ht="22.5" customHeight="1" x14ac:dyDescent="0.3">
      <c r="A34" s="7" t="str" cm="1">
        <f t="array" ref="A34">_xlfn.XLOOKUP(P_FACT[[#This Row],[PROJECT ID]],Table3[PROJECT ID],Sheet1!$D$2:$D$142)</f>
        <v>شركة المقاولون العرب الغينية</v>
      </c>
      <c r="B34" s="5">
        <v>1070</v>
      </c>
      <c r="C34" s="5" t="s">
        <v>47</v>
      </c>
      <c r="D34" s="6">
        <v>46234</v>
      </c>
      <c r="E34" s="5" t="s">
        <v>73</v>
      </c>
      <c r="F34" s="10" t="s">
        <v>71</v>
      </c>
      <c r="G34" s="5">
        <v>12070472.289999999</v>
      </c>
      <c r="H34" s="5">
        <v>8569311.9383333325</v>
      </c>
      <c r="I34" s="4">
        <f>P_FACT[[#This Row],[منفذ شامل مستخلص داخلى
(B)]]/P_FACT[[#This Row],[اجمالى القيمة التعاقدية
(A)]]</f>
        <v>0.70994006965516454</v>
      </c>
      <c r="J34" s="5">
        <v>8569311.9383333325</v>
      </c>
      <c r="K34" s="4">
        <f>P_FACT[[#This Row],[منفذ معتمد
(C)]]/P_FACT[[#This Row],[اجمالى القيمة التعاقدية
(A)]]</f>
        <v>0.70994006965516454</v>
      </c>
      <c r="L34" s="5">
        <v>8569311.9383333325</v>
      </c>
      <c r="M34" s="4">
        <f>IF(P_FACT[[#This Row],[منفذ معتمد
(C)]]&gt;0,P_FACT[[#This Row],[اعمال مسدده
(D)]]/P_FACT[[#This Row],[منفذ معتمد
(C)]],0)</f>
        <v>1</v>
      </c>
      <c r="N34" s="5">
        <v>8569311.9383333325</v>
      </c>
      <c r="O34" s="4">
        <f>IF(P_FACT[[#This Row],[منفذ معتمد
(C)]]&gt;0,P_FACT[[#This Row],[سيولة محصلة
(F)]]/P_FACT[[#This Row],[منفذ معتمد
(C)]],0)</f>
        <v>1</v>
      </c>
      <c r="P34" s="5">
        <v>0</v>
      </c>
      <c r="Q34" s="4">
        <f>IF(P_FACT[[#This Row],[منفذ شامل مستخلص داخلى
(B)]]&gt;0,P_FACT[[#This Row],[الاعمال القابلة للصرف
(H)]]/P_FACT[[#This Row],[منفذ شامل مستخلص داخلى
(B)]],0)</f>
        <v>0</v>
      </c>
      <c r="R34" s="5">
        <v>0</v>
      </c>
      <c r="S34" s="4">
        <f>IF(P_FACT[[#This Row],[منفذ معتمد
(C)]]&gt;0,P_FACT[[#This Row],[غير قابلة للصرف
(G)]]/P_FACT[[#This Row],[منفذ معتمد
(C)]],0)</f>
        <v>0</v>
      </c>
      <c r="T34" s="5">
        <v>167101.58333333334</v>
      </c>
      <c r="U34" s="4">
        <f>IF(P_FACT[[#This Row],[منفذ معتمد
(C)]]&gt;0,P_FACT[[#This Row],[الربحية
(I)]]/P_FACT[[#This Row],[منفذ معتمد
(C)]],0)</f>
        <v>1.9500000062529332E-2</v>
      </c>
      <c r="V34" s="5">
        <v>991598.995</v>
      </c>
      <c r="W34" s="4">
        <f>IF(P_FACT[[#This Row],[منفذ معتمد
(C)]]&gt;0,P_FACT[[#This Row],[الاجور
(J)]]/P_FACT[[#This Row],[منفذ معتمد
(C)]],0)</f>
        <v>0.11571512417050121</v>
      </c>
      <c r="X34" s="6">
        <v>43269</v>
      </c>
      <c r="Y34" s="6">
        <v>44849</v>
      </c>
      <c r="Z34" s="2">
        <f>P_FACT[[#This Row],[تاريخ نهو المشروع المعدل شامل مد مدة الزمنى]]-P_FACT[[#This Row],[تاريخ بدء المشروع التعاقدى]]</f>
        <v>1580</v>
      </c>
      <c r="AA34" s="2">
        <f>P_FACT[[#This Row],[تاريخ نهو المشروع المعدل شامل مد مدة الزمنى]]-P_FACT[[#This Row],[تاريخ تحديث البيان]]</f>
        <v>-1385</v>
      </c>
      <c r="AB34" s="3">
        <f>(P_FACT[[#This Row],[اجمالى المدة الزمنية المعتمدة]]-P_FACT[[#This Row],[المدة المنقضبة]])/P_FACT[[#This Row],[اجمالى المدة الزمنية المعتمدة]]</f>
        <v>1.8765822784810127</v>
      </c>
    </row>
    <row r="35" spans="1:28" ht="22.5" customHeight="1" x14ac:dyDescent="0.3">
      <c r="A35" s="8" t="str" cm="1">
        <f t="array" ref="A35">_xlfn.XLOOKUP(P_FACT[[#This Row],[PROJECT ID]],Table3[PROJECT ID],Sheet1!$D$2:$D$142)</f>
        <v>شركة المقاولون العرب الغينية</v>
      </c>
      <c r="B35" s="5">
        <v>1071</v>
      </c>
      <c r="C35" s="5" t="s">
        <v>47</v>
      </c>
      <c r="D35" s="6">
        <v>46234</v>
      </c>
      <c r="E35" s="5" t="s">
        <v>72</v>
      </c>
      <c r="F35" s="10" t="s">
        <v>71</v>
      </c>
      <c r="G35" s="5">
        <v>4347756.8683333332</v>
      </c>
      <c r="H35" s="5">
        <v>2548934.2666666666</v>
      </c>
      <c r="I35" s="4">
        <f>P_FACT[[#This Row],[منفذ شامل مستخلص داخلى
(B)]]/P_FACT[[#This Row],[اجمالى القيمة التعاقدية
(A)]]</f>
        <v>0.58626421482574154</v>
      </c>
      <c r="J35" s="5">
        <v>2548934.2666666666</v>
      </c>
      <c r="K35" s="4">
        <f>P_FACT[[#This Row],[منفذ معتمد
(C)]]/P_FACT[[#This Row],[اجمالى القيمة التعاقدية
(A)]]</f>
        <v>0.58626421482574154</v>
      </c>
      <c r="L35" s="5">
        <v>2548934.2666666666</v>
      </c>
      <c r="M35" s="4">
        <f>IF(P_FACT[[#This Row],[منفذ معتمد
(C)]]&gt;0,P_FACT[[#This Row],[اعمال مسدده
(D)]]/P_FACT[[#This Row],[منفذ معتمد
(C)]],0)</f>
        <v>1</v>
      </c>
      <c r="N35" s="5">
        <v>2548934.2666666666</v>
      </c>
      <c r="O35" s="4">
        <f>IF(P_FACT[[#This Row],[منفذ معتمد
(C)]]&gt;0,P_FACT[[#This Row],[سيولة محصلة
(F)]]/P_FACT[[#This Row],[منفذ معتمد
(C)]],0)</f>
        <v>1</v>
      </c>
      <c r="P35" s="5">
        <v>0</v>
      </c>
      <c r="Q35" s="4">
        <f>IF(P_FACT[[#This Row],[منفذ شامل مستخلص داخلى
(B)]]&gt;0,P_FACT[[#This Row],[الاعمال القابلة للصرف
(H)]]/P_FACT[[#This Row],[منفذ شامل مستخلص داخلى
(B)]],0)</f>
        <v>0</v>
      </c>
      <c r="R35" s="5">
        <v>0</v>
      </c>
      <c r="S35" s="4">
        <f>IF(P_FACT[[#This Row],[منفذ معتمد
(C)]]&gt;0,P_FACT[[#This Row],[غير قابلة للصرف
(G)]]/P_FACT[[#This Row],[منفذ معتمد
(C)]],0)</f>
        <v>0</v>
      </c>
      <c r="T35" s="5">
        <v>56076.553333333337</v>
      </c>
      <c r="U35" s="4">
        <f>IF(P_FACT[[#This Row],[منفذ معتمد
(C)]]&gt;0,P_FACT[[#This Row],[الربحية
(I)]]/P_FACT[[#This Row],[منفذ معتمد
(C)]],0)</f>
        <v>2.1999999790762226E-2</v>
      </c>
      <c r="V35" s="5">
        <v>278283.57833333331</v>
      </c>
      <c r="W35" s="4">
        <f>IF(P_FACT[[#This Row],[منفذ معتمد
(C)]]&gt;0,P_FACT[[#This Row],[الاجور
(J)]]/P_FACT[[#This Row],[منفذ معتمد
(C)]],0)</f>
        <v>0.10917644365041033</v>
      </c>
      <c r="X35" s="6">
        <v>43159</v>
      </c>
      <c r="Y35" s="6">
        <v>44255</v>
      </c>
      <c r="Z35" s="2">
        <f>P_FACT[[#This Row],[تاريخ نهو المشروع المعدل شامل مد مدة الزمنى]]-P_FACT[[#This Row],[تاريخ بدء المشروع التعاقدى]]</f>
        <v>1096</v>
      </c>
      <c r="AA35" s="2">
        <f>P_FACT[[#This Row],[تاريخ نهو المشروع المعدل شامل مد مدة الزمنى]]-P_FACT[[#This Row],[تاريخ تحديث البيان]]</f>
        <v>-1979</v>
      </c>
      <c r="AB35" s="3">
        <f>(P_FACT[[#This Row],[اجمالى المدة الزمنية المعتمدة]]-P_FACT[[#This Row],[المدة المنقضبة]])/P_FACT[[#This Row],[اجمالى المدة الزمنية المعتمدة]]</f>
        <v>2.8056569343065694</v>
      </c>
    </row>
    <row r="36" spans="1:28" ht="22.5" customHeight="1" x14ac:dyDescent="0.3">
      <c r="A36" s="7" t="str" cm="1">
        <f t="array" ref="A36">_xlfn.XLOOKUP(P_FACT[[#This Row],[PROJECT ID]],Table3[PROJECT ID],Sheet1!$D$2:$D$142)</f>
        <v>شركة المقاولون العرب الغينية</v>
      </c>
      <c r="B36" s="5">
        <v>1072</v>
      </c>
      <c r="C36" s="5" t="s">
        <v>47</v>
      </c>
      <c r="D36" s="6">
        <v>46234</v>
      </c>
      <c r="E36" s="5" t="s">
        <v>70</v>
      </c>
      <c r="F36" s="10" t="s">
        <v>71</v>
      </c>
      <c r="G36" s="5">
        <v>9676811.5733333342</v>
      </c>
      <c r="H36" s="5">
        <v>5362278.8533333335</v>
      </c>
      <c r="I36" s="4">
        <f>P_FACT[[#This Row],[منفذ شامل مستخلص داخلى
(B)]]/P_FACT[[#This Row],[اجمالى القيمة التعاقدية
(A)]]</f>
        <v>0.55413695024405751</v>
      </c>
      <c r="J36" s="5">
        <v>5362278.8533333335</v>
      </c>
      <c r="K36" s="4">
        <f>P_FACT[[#This Row],[منفذ معتمد
(C)]]/P_FACT[[#This Row],[اجمالى القيمة التعاقدية
(A)]]</f>
        <v>0.55413695024405751</v>
      </c>
      <c r="L36" s="5">
        <v>5362278.8533333335</v>
      </c>
      <c r="M36" s="4">
        <f>IF(P_FACT[[#This Row],[منفذ معتمد
(C)]]&gt;0,P_FACT[[#This Row],[اعمال مسدده
(D)]]/P_FACT[[#This Row],[منفذ معتمد
(C)]],0)</f>
        <v>1</v>
      </c>
      <c r="N36" s="5">
        <v>5362278.8533333335</v>
      </c>
      <c r="O36" s="4">
        <f>IF(P_FACT[[#This Row],[منفذ معتمد
(C)]]&gt;0,P_FACT[[#This Row],[سيولة محصلة
(F)]]/P_FACT[[#This Row],[منفذ معتمد
(C)]],0)</f>
        <v>1</v>
      </c>
      <c r="P36" s="5">
        <v>0</v>
      </c>
      <c r="Q36" s="4">
        <f>IF(P_FACT[[#This Row],[منفذ شامل مستخلص داخلى
(B)]]&gt;0,P_FACT[[#This Row],[الاعمال القابلة للصرف
(H)]]/P_FACT[[#This Row],[منفذ شامل مستخلص داخلى
(B)]],0)</f>
        <v>0</v>
      </c>
      <c r="R36" s="5">
        <v>0</v>
      </c>
      <c r="S36" s="4">
        <f>IF(P_FACT[[#This Row],[منفذ معتمد
(C)]]&gt;0,P_FACT[[#This Row],[غير قابلة للصرف
(G)]]/P_FACT[[#This Row],[منفذ معتمد
(C)]],0)</f>
        <v>0</v>
      </c>
      <c r="T36" s="5">
        <v>131375.83166666667</v>
      </c>
      <c r="U36" s="4">
        <f>IF(P_FACT[[#This Row],[منفذ معتمد
(C)]]&gt;0,P_FACT[[#This Row],[الربحية
(I)]]/P_FACT[[#This Row],[منفذ معتمد
(C)]],0)</f>
        <v>2.4499999955242907E-2</v>
      </c>
      <c r="V36" s="5">
        <v>637163.43000000005</v>
      </c>
      <c r="W36" s="4">
        <f>IF(P_FACT[[#This Row],[منفذ معتمد
(C)]]&gt;0,P_FACT[[#This Row],[الاجور
(J)]]/P_FACT[[#This Row],[منفذ معتمد
(C)]],0)</f>
        <v>0.11882325545302862</v>
      </c>
      <c r="X36" s="6">
        <v>43269</v>
      </c>
      <c r="Y36" s="6">
        <v>44365</v>
      </c>
      <c r="Z36" s="2">
        <f>P_FACT[[#This Row],[تاريخ نهو المشروع المعدل شامل مد مدة الزمنى]]-P_FACT[[#This Row],[تاريخ بدء المشروع التعاقدى]]</f>
        <v>1096</v>
      </c>
      <c r="AA36" s="2">
        <f>P_FACT[[#This Row],[تاريخ نهو المشروع المعدل شامل مد مدة الزمنى]]-P_FACT[[#This Row],[تاريخ تحديث البيان]]</f>
        <v>-1869</v>
      </c>
      <c r="AB36" s="3">
        <f>(P_FACT[[#This Row],[اجمالى المدة الزمنية المعتمدة]]-P_FACT[[#This Row],[المدة المنقضبة]])/P_FACT[[#This Row],[اجمالى المدة الزمنية المعتمدة]]</f>
        <v>2.7052919708029197</v>
      </c>
    </row>
    <row r="37" spans="1:28" ht="22.5" customHeight="1" x14ac:dyDescent="0.3">
      <c r="A37" s="8" t="str" cm="1">
        <f t="array" ref="A37">_xlfn.XLOOKUP(P_FACT[[#This Row],[PROJECT ID]],Table3[PROJECT ID],Sheet1!$D$2:$D$142)</f>
        <v>شركة المقاولون العرب الغينية</v>
      </c>
      <c r="B37" s="5">
        <v>1073</v>
      </c>
      <c r="C37" s="5" t="s">
        <v>47</v>
      </c>
      <c r="D37" s="6">
        <v>46234</v>
      </c>
      <c r="E37" s="5" t="s">
        <v>75</v>
      </c>
      <c r="F37" s="10" t="s">
        <v>71</v>
      </c>
      <c r="G37" s="5">
        <v>12720270.626666667</v>
      </c>
      <c r="H37" s="5">
        <v>5672542.5483333329</v>
      </c>
      <c r="I37" s="4">
        <f>P_FACT[[#This Row],[منفذ شامل مستخلص داخلى
(B)]]/P_FACT[[#This Row],[اجمالى القيمة التعاقدية
(A)]]</f>
        <v>0.44594511507022994</v>
      </c>
      <c r="J37" s="5">
        <v>5672542.5483333329</v>
      </c>
      <c r="K37" s="4">
        <f>P_FACT[[#This Row],[منفذ معتمد
(C)]]/P_FACT[[#This Row],[اجمالى القيمة التعاقدية
(A)]]</f>
        <v>0.44594511507022994</v>
      </c>
      <c r="L37" s="5">
        <v>5672542.5483333329</v>
      </c>
      <c r="M37" s="4">
        <f>IF(P_FACT[[#This Row],[منفذ معتمد
(C)]]&gt;0,P_FACT[[#This Row],[اعمال مسدده
(D)]]/P_FACT[[#This Row],[منفذ معتمد
(C)]],0)</f>
        <v>1</v>
      </c>
      <c r="N37" s="5">
        <v>5672542.5483333329</v>
      </c>
      <c r="O37" s="4">
        <f>IF(P_FACT[[#This Row],[منفذ معتمد
(C)]]&gt;0,P_FACT[[#This Row],[سيولة محصلة
(F)]]/P_FACT[[#This Row],[منفذ معتمد
(C)]],0)</f>
        <v>1</v>
      </c>
      <c r="P37" s="5">
        <v>0</v>
      </c>
      <c r="Q37" s="4">
        <f>IF(P_FACT[[#This Row],[منفذ شامل مستخلص داخلى
(B)]]&gt;0,P_FACT[[#This Row],[الاعمال القابلة للصرف
(H)]]/P_FACT[[#This Row],[منفذ شامل مستخلص داخلى
(B)]],0)</f>
        <v>0</v>
      </c>
      <c r="R37" s="5">
        <v>0</v>
      </c>
      <c r="S37" s="4">
        <f>IF(P_FACT[[#This Row],[منفذ معتمد
(C)]]&gt;0,P_FACT[[#This Row],[غير قابلة للصرف
(G)]]/P_FACT[[#This Row],[منفذ معتمد
(C)]],0)</f>
        <v>0</v>
      </c>
      <c r="T37" s="5">
        <v>147486.10666666666</v>
      </c>
      <c r="U37" s="4">
        <f>IF(P_FACT[[#This Row],[منفذ معتمد
(C)]]&gt;0,P_FACT[[#This Row],[الربحية
(I)]]/P_FACT[[#This Row],[منفذ معتمد
(C)]],0)</f>
        <v>2.6000000072277995E-2</v>
      </c>
      <c r="V37" s="5">
        <v>656398.96499999997</v>
      </c>
      <c r="W37" s="4">
        <f>IF(P_FACT[[#This Row],[منفذ معتمد
(C)]]&gt;0,P_FACT[[#This Row],[الاجور
(J)]]/P_FACT[[#This Row],[منفذ معتمد
(C)]],0)</f>
        <v>0.11571512411006217</v>
      </c>
      <c r="X37" s="6">
        <v>43952</v>
      </c>
      <c r="Y37" s="6">
        <v>45047</v>
      </c>
      <c r="Z37" s="2">
        <f>P_FACT[[#This Row],[تاريخ نهو المشروع المعدل شامل مد مدة الزمنى]]-P_FACT[[#This Row],[تاريخ بدء المشروع التعاقدى]]</f>
        <v>1095</v>
      </c>
      <c r="AA37" s="2">
        <f>P_FACT[[#This Row],[تاريخ نهو المشروع المعدل شامل مد مدة الزمنى]]-P_FACT[[#This Row],[تاريخ تحديث البيان]]</f>
        <v>-1187</v>
      </c>
      <c r="AB37" s="3">
        <f>(P_FACT[[#This Row],[اجمالى المدة الزمنية المعتمدة]]-P_FACT[[#This Row],[المدة المنقضبة]])/P_FACT[[#This Row],[اجمالى المدة الزمنية المعتمدة]]</f>
        <v>2.0840182648401826</v>
      </c>
    </row>
    <row r="38" spans="1:28" ht="22.5" customHeight="1" x14ac:dyDescent="0.3">
      <c r="A38" s="7" t="str" cm="1">
        <f t="array" ref="A38">_xlfn.XLOOKUP(P_FACT[[#This Row],[PROJECT ID]],Table3[PROJECT ID],Sheet1!$D$2:$D$142)</f>
        <v>شركة المقاولون العرب الغينية</v>
      </c>
      <c r="B38" s="5">
        <v>1074</v>
      </c>
      <c r="C38" s="5" t="s">
        <v>47</v>
      </c>
      <c r="D38" s="6">
        <v>46234</v>
      </c>
      <c r="E38" s="5" t="s">
        <v>74</v>
      </c>
      <c r="F38" s="10" t="s">
        <v>71</v>
      </c>
      <c r="G38" s="5">
        <v>13272534.121666666</v>
      </c>
      <c r="H38" s="5">
        <v>7188706.333333333</v>
      </c>
      <c r="I38" s="4">
        <f>P_FACT[[#This Row],[منفذ شامل مستخلص داخلى
(B)]]/P_FACT[[#This Row],[اجمالى القيمة التعاقدية
(A)]]</f>
        <v>0.54162274268319066</v>
      </c>
      <c r="J38" s="5">
        <v>7188706.333333333</v>
      </c>
      <c r="K38" s="4">
        <f>P_FACT[[#This Row],[منفذ معتمد
(C)]]/P_FACT[[#This Row],[اجمالى القيمة التعاقدية
(A)]]</f>
        <v>0.54162274268319066</v>
      </c>
      <c r="L38" s="5">
        <v>5955373</v>
      </c>
      <c r="M38" s="4">
        <f>IF(P_FACT[[#This Row],[منفذ معتمد
(C)]]&gt;0,P_FACT[[#This Row],[اعمال مسدده
(D)]]/P_FACT[[#This Row],[منفذ معتمد
(C)]],0)</f>
        <v>0.82843459224165461</v>
      </c>
      <c r="N38" s="5">
        <v>5955373</v>
      </c>
      <c r="O38" s="4">
        <f>IF(P_FACT[[#This Row],[منفذ معتمد
(C)]]&gt;0,P_FACT[[#This Row],[سيولة محصلة
(F)]]/P_FACT[[#This Row],[منفذ معتمد
(C)]],0)</f>
        <v>0.82843459224165461</v>
      </c>
      <c r="P38" s="5">
        <v>1233333.3333333333</v>
      </c>
      <c r="Q38" s="4">
        <f>IF(P_FACT[[#This Row],[منفذ شامل مستخلص داخلى
(B)]]&gt;0,P_FACT[[#This Row],[الاعمال القابلة للصرف
(H)]]/P_FACT[[#This Row],[منفذ شامل مستخلص داخلى
(B)]],0)</f>
        <v>0.17156540775834539</v>
      </c>
      <c r="R38" s="5">
        <v>0</v>
      </c>
      <c r="S38" s="4">
        <f>IF(P_FACT[[#This Row],[منفذ معتمد
(C)]]&gt;0,P_FACT[[#This Row],[غير قابلة للصرف
(G)]]/P_FACT[[#This Row],[منفذ معتمد
(C)]],0)</f>
        <v>0</v>
      </c>
      <c r="T38" s="5">
        <v>208018.76666666666</v>
      </c>
      <c r="U38" s="4">
        <f>IF(P_FACT[[#This Row],[منفذ معتمد
(C)]]&gt;0,P_FACT[[#This Row],[الربحية
(I)]]/P_FACT[[#This Row],[منفذ معتمد
(C)]],0)</f>
        <v>2.8936884749639007E-2</v>
      </c>
      <c r="V38" s="5">
        <v>773984.48333333328</v>
      </c>
      <c r="W38" s="4">
        <f>IF(P_FACT[[#This Row],[منفذ معتمد
(C)]]&gt;0,P_FACT[[#This Row],[الاجور
(J)]]/P_FACT[[#This Row],[منفذ معتمد
(C)]],0)</f>
        <v>0.10766672714733698</v>
      </c>
      <c r="X38" s="6">
        <v>44986</v>
      </c>
      <c r="Y38" s="6">
        <v>46082</v>
      </c>
      <c r="Z38" s="2">
        <f>P_FACT[[#This Row],[تاريخ نهو المشروع المعدل شامل مد مدة الزمنى]]-P_FACT[[#This Row],[تاريخ بدء المشروع التعاقدى]]</f>
        <v>1096</v>
      </c>
      <c r="AA38" s="2">
        <f>P_FACT[[#This Row],[تاريخ نهو المشروع المعدل شامل مد مدة الزمنى]]-P_FACT[[#This Row],[تاريخ تحديث البيان]]</f>
        <v>-152</v>
      </c>
      <c r="AB38" s="3">
        <f>(P_FACT[[#This Row],[اجمالى المدة الزمنية المعتمدة]]-P_FACT[[#This Row],[المدة المنقضبة]])/P_FACT[[#This Row],[اجمالى المدة الزمنية المعتمدة]]</f>
        <v>1.1386861313868613</v>
      </c>
    </row>
    <row r="39" spans="1:28" ht="22.5" customHeight="1" x14ac:dyDescent="0.3">
      <c r="A39" s="8" t="str" cm="1">
        <f t="array" ref="A39">_xlfn.XLOOKUP(P_FACT[[#This Row],[PROJECT ID]],Table3[PROJECT ID],Sheet1!$D$2:$D$142)</f>
        <v>شركة المقاولون العرب الغينية</v>
      </c>
      <c r="B39" s="5">
        <v>1075</v>
      </c>
      <c r="C39" s="5" t="s">
        <v>47</v>
      </c>
      <c r="D39" s="6">
        <v>46234</v>
      </c>
      <c r="E39" s="5" t="s">
        <v>80</v>
      </c>
      <c r="F39" s="10" t="s">
        <v>81</v>
      </c>
      <c r="G39" s="5">
        <v>4018195.0483333333</v>
      </c>
      <c r="H39" s="5">
        <v>3983655.2316666665</v>
      </c>
      <c r="I39" s="4">
        <f>P_FACT[[#This Row],[منفذ شامل مستخلص داخلى
(B)]]/P_FACT[[#This Row],[اجمالى القيمة التعاقدية
(A)]]</f>
        <v>0.99140414632659679</v>
      </c>
      <c r="J39" s="5">
        <v>3983655.2316666665</v>
      </c>
      <c r="K39" s="4">
        <f>P_FACT[[#This Row],[منفذ معتمد
(C)]]/P_FACT[[#This Row],[اجمالى القيمة التعاقدية
(A)]]</f>
        <v>0.99140414632659679</v>
      </c>
      <c r="L39" s="5">
        <v>3983655.2316666665</v>
      </c>
      <c r="M39" s="4">
        <f>IF(P_FACT[[#This Row],[منفذ معتمد
(C)]]&gt;0,P_FACT[[#This Row],[اعمال مسدده
(D)]]/P_FACT[[#This Row],[منفذ معتمد
(C)]],0)</f>
        <v>1</v>
      </c>
      <c r="N39" s="5">
        <v>4018195.0483333333</v>
      </c>
      <c r="O39" s="4">
        <f>IF(P_FACT[[#This Row],[منفذ معتمد
(C)]]&gt;0,P_FACT[[#This Row],[سيولة محصلة
(F)]]/P_FACT[[#This Row],[منفذ معتمد
(C)]],0)</f>
        <v>1.0086703830171106</v>
      </c>
      <c r="P39" s="5">
        <v>0</v>
      </c>
      <c r="Q39" s="4">
        <f>IF(P_FACT[[#This Row],[منفذ شامل مستخلص داخلى
(B)]]&gt;0,P_FACT[[#This Row],[الاعمال القابلة للصرف
(H)]]/P_FACT[[#This Row],[منفذ شامل مستخلص داخلى
(B)]],0)</f>
        <v>0</v>
      </c>
      <c r="R39" s="5">
        <v>0</v>
      </c>
      <c r="S39" s="4">
        <f>IF(P_FACT[[#This Row],[منفذ معتمد
(C)]]&gt;0,P_FACT[[#This Row],[غير قابلة للصرف
(G)]]/P_FACT[[#This Row],[منفذ معتمد
(C)]],0)</f>
        <v>0</v>
      </c>
      <c r="T39" s="5">
        <v>159346.21</v>
      </c>
      <c r="U39" s="4">
        <f>IF(P_FACT[[#This Row],[منفذ معتمد
(C)]]&gt;0,P_FACT[[#This Row],[الربحية
(I)]]/P_FACT[[#This Row],[منفذ معتمد
(C)]],0)</f>
        <v>4.0000000184085539E-2</v>
      </c>
      <c r="V39" s="5">
        <v>581075.875</v>
      </c>
      <c r="W39" s="4">
        <f>IF(P_FACT[[#This Row],[منفذ معتمد
(C)]]&gt;0,P_FACT[[#This Row],[الاجور
(J)]]/P_FACT[[#This Row],[منفذ معتمد
(C)]],0)</f>
        <v>0.14586500116298762</v>
      </c>
      <c r="X39" s="6">
        <v>45017</v>
      </c>
      <c r="Y39" s="6">
        <v>46113</v>
      </c>
      <c r="Z39" s="2">
        <f>P_FACT[[#This Row],[تاريخ نهو المشروع المعدل شامل مد مدة الزمنى]]-P_FACT[[#This Row],[تاريخ بدء المشروع التعاقدى]]</f>
        <v>1096</v>
      </c>
      <c r="AA39" s="2">
        <f>P_FACT[[#This Row],[تاريخ نهو المشروع المعدل شامل مد مدة الزمنى]]-P_FACT[[#This Row],[تاريخ تحديث البيان]]</f>
        <v>-121</v>
      </c>
      <c r="AB39" s="3">
        <f>(P_FACT[[#This Row],[اجمالى المدة الزمنية المعتمدة]]-P_FACT[[#This Row],[المدة المنقضبة]])/P_FACT[[#This Row],[اجمالى المدة الزمنية المعتمدة]]</f>
        <v>1.1104014598540146</v>
      </c>
    </row>
    <row r="40" spans="1:28" ht="22.5" customHeight="1" x14ac:dyDescent="0.3">
      <c r="A40" s="7" t="str" cm="1">
        <f t="array" ref="A40">_xlfn.XLOOKUP(P_FACT[[#This Row],[PROJECT ID]],Table3[PROJECT ID],Sheet1!$D$2:$D$142)</f>
        <v>شركة المقاولون العرب الغينية</v>
      </c>
      <c r="B40" s="5">
        <v>1076</v>
      </c>
      <c r="C40" s="5" t="s">
        <v>47</v>
      </c>
      <c r="D40" s="6">
        <v>46234</v>
      </c>
      <c r="E40" s="5" t="s">
        <v>76</v>
      </c>
      <c r="F40" s="10" t="s">
        <v>77</v>
      </c>
      <c r="G40" s="5">
        <v>7650889.2000000002</v>
      </c>
      <c r="H40" s="5">
        <v>4180320.1850000001</v>
      </c>
      <c r="I40" s="4">
        <f>P_FACT[[#This Row],[منفذ شامل مستخلص داخلى
(B)]]/P_FACT[[#This Row],[اجمالى القيمة التعاقدية
(A)]]</f>
        <v>0.5463835739511167</v>
      </c>
      <c r="J40" s="5">
        <v>4180320.1850000001</v>
      </c>
      <c r="K40" s="4">
        <f>P_FACT[[#This Row],[منفذ معتمد
(C)]]/P_FACT[[#This Row],[اجمالى القيمة التعاقدية
(A)]]</f>
        <v>0.5463835739511167</v>
      </c>
      <c r="L40" s="5">
        <v>3385320.1850000001</v>
      </c>
      <c r="M40" s="4">
        <f>IF(P_FACT[[#This Row],[منفذ معتمد
(C)]]&gt;0,P_FACT[[#This Row],[اعمال مسدده
(D)]]/P_FACT[[#This Row],[منفذ معتمد
(C)]],0)</f>
        <v>0.80982317984812446</v>
      </c>
      <c r="N40" s="5">
        <v>3385320.1850000001</v>
      </c>
      <c r="O40" s="4">
        <f>IF(P_FACT[[#This Row],[منفذ معتمد
(C)]]&gt;0,P_FACT[[#This Row],[سيولة محصلة
(F)]]/P_FACT[[#This Row],[منفذ معتمد
(C)]],0)</f>
        <v>0.80982317984812446</v>
      </c>
      <c r="P40" s="5">
        <v>795000</v>
      </c>
      <c r="Q40" s="4">
        <f>IF(P_FACT[[#This Row],[منفذ شامل مستخلص داخلى
(B)]]&gt;0,P_FACT[[#This Row],[الاعمال القابلة للصرف
(H)]]/P_FACT[[#This Row],[منفذ شامل مستخلص داخلى
(B)]],0)</f>
        <v>0.19017682015187551</v>
      </c>
      <c r="R40" s="5">
        <v>0</v>
      </c>
      <c r="S40" s="4">
        <f>IF(P_FACT[[#This Row],[منفذ معتمد
(C)]]&gt;0,P_FACT[[#This Row],[غير قابلة للصرف
(G)]]/P_FACT[[#This Row],[منفذ معتمد
(C)]],0)</f>
        <v>0</v>
      </c>
      <c r="T40" s="5">
        <v>242305.25666666665</v>
      </c>
      <c r="U40" s="4">
        <f>IF(P_FACT[[#This Row],[منفذ معتمد
(C)]]&gt;0,P_FACT[[#This Row],[الربحية
(I)]]/P_FACT[[#This Row],[منفذ معتمد
(C)]],0)</f>
        <v>5.7963324803711573E-2</v>
      </c>
      <c r="V40" s="5">
        <v>213069.57166666666</v>
      </c>
      <c r="W40" s="4">
        <f>IF(P_FACT[[#This Row],[منفذ معتمد
(C)]]&gt;0,P_FACT[[#This Row],[الاجور
(J)]]/P_FACT[[#This Row],[منفذ معتمد
(C)]],0)</f>
        <v>5.0969677497721778E-2</v>
      </c>
      <c r="X40" s="6">
        <v>44958</v>
      </c>
      <c r="Y40" s="6">
        <v>46054</v>
      </c>
      <c r="Z40" s="2">
        <f>P_FACT[[#This Row],[تاريخ نهو المشروع المعدل شامل مد مدة الزمنى]]-P_FACT[[#This Row],[تاريخ بدء المشروع التعاقدى]]</f>
        <v>1096</v>
      </c>
      <c r="AA40" s="2">
        <f>P_FACT[[#This Row],[تاريخ نهو المشروع المعدل شامل مد مدة الزمنى]]-P_FACT[[#This Row],[تاريخ تحديث البيان]]</f>
        <v>-180</v>
      </c>
      <c r="AB40" s="3">
        <f>(P_FACT[[#This Row],[اجمالى المدة الزمنية المعتمدة]]-P_FACT[[#This Row],[المدة المنقضبة]])/P_FACT[[#This Row],[اجمالى المدة الزمنية المعتمدة]]</f>
        <v>1.1642335766423357</v>
      </c>
    </row>
    <row r="41" spans="1:28" ht="22.5" customHeight="1" x14ac:dyDescent="0.3">
      <c r="A41" s="8" t="str" cm="1">
        <f t="array" ref="A41">_xlfn.XLOOKUP(P_FACT[[#This Row],[PROJECT ID]],Table3[PROJECT ID],Sheet1!$D$2:$D$142)</f>
        <v>شركة المقاولون العرب الغينية</v>
      </c>
      <c r="B41" s="5">
        <v>1077</v>
      </c>
      <c r="C41" s="5" t="s">
        <v>47</v>
      </c>
      <c r="D41" s="6">
        <v>46234</v>
      </c>
      <c r="E41" s="5" t="s">
        <v>54</v>
      </c>
      <c r="F41" s="10" t="s">
        <v>55</v>
      </c>
      <c r="G41" s="5">
        <v>12098779.91</v>
      </c>
      <c r="H41" s="5">
        <v>11346981.156666666</v>
      </c>
      <c r="I41" s="4">
        <f>P_FACT[[#This Row],[منفذ شامل مستخلص داخلى
(B)]]/P_FACT[[#This Row],[اجمالى القيمة التعاقدية
(A)]]</f>
        <v>0.93786160596971024</v>
      </c>
      <c r="J41" s="5">
        <v>11346981.156666666</v>
      </c>
      <c r="K41" s="4">
        <f>P_FACT[[#This Row],[منفذ معتمد
(C)]]/P_FACT[[#This Row],[اجمالى القيمة التعاقدية
(A)]]</f>
        <v>0.93786160596971024</v>
      </c>
      <c r="L41" s="5">
        <v>10074905.928333333</v>
      </c>
      <c r="M41" s="4">
        <f>IF(P_FACT[[#This Row],[منفذ معتمد
(C)]]&gt;0,P_FACT[[#This Row],[اعمال مسدده
(D)]]/P_FACT[[#This Row],[منفذ معتمد
(C)]],0)</f>
        <v>0.88789306946315372</v>
      </c>
      <c r="N41" s="5">
        <v>10074905.928333333</v>
      </c>
      <c r="O41" s="4">
        <f>IF(P_FACT[[#This Row],[منفذ معتمد
(C)]]&gt;0,P_FACT[[#This Row],[سيولة محصلة
(F)]]/P_FACT[[#This Row],[منفذ معتمد
(C)]],0)</f>
        <v>0.88789306946315372</v>
      </c>
      <c r="P41" s="5">
        <v>1272075.2283333333</v>
      </c>
      <c r="Q41" s="4">
        <f>IF(P_FACT[[#This Row],[منفذ شامل مستخلص داخلى
(B)]]&gt;0,P_FACT[[#This Row],[الاعمال القابلة للصرف
(H)]]/P_FACT[[#This Row],[منفذ شامل مستخلص داخلى
(B)]],0)</f>
        <v>0.11210693053684626</v>
      </c>
      <c r="R41" s="5">
        <v>0</v>
      </c>
      <c r="S41" s="4">
        <f>IF(P_FACT[[#This Row],[منفذ معتمد
(C)]]&gt;0,P_FACT[[#This Row],[غير قابلة للصرف
(G)]]/P_FACT[[#This Row],[منفذ معتمد
(C)]],0)</f>
        <v>0</v>
      </c>
      <c r="T41" s="5">
        <v>414842.24735000002</v>
      </c>
      <c r="U41" s="4">
        <f>IF(P_FACT[[#This Row],[منفذ معتمد
(C)]]&gt;0,P_FACT[[#This Row],[الربحية
(I)]]/P_FACT[[#This Row],[منفذ معتمد
(C)]],0)</f>
        <v>3.6559701794011412E-2</v>
      </c>
      <c r="V41" s="5">
        <v>10074905.928333333</v>
      </c>
      <c r="W41" s="4">
        <f>IF(P_FACT[[#This Row],[منفذ معتمد
(C)]]&gt;0,P_FACT[[#This Row],[الاجور
(J)]]/P_FACT[[#This Row],[منفذ معتمد
(C)]],0)</f>
        <v>0.88789306946315372</v>
      </c>
      <c r="X41" s="6">
        <v>44713</v>
      </c>
      <c r="Y41" s="6">
        <v>44927</v>
      </c>
      <c r="Z41" s="2">
        <f>P_FACT[[#This Row],[تاريخ نهو المشروع المعدل شامل مد مدة الزمنى]]-P_FACT[[#This Row],[تاريخ بدء المشروع التعاقدى]]</f>
        <v>214</v>
      </c>
      <c r="AA41" s="2">
        <f>P_FACT[[#This Row],[تاريخ نهو المشروع المعدل شامل مد مدة الزمنى]]-P_FACT[[#This Row],[تاريخ تحديث البيان]]</f>
        <v>-1307</v>
      </c>
      <c r="AB41" s="3">
        <f>(P_FACT[[#This Row],[اجمالى المدة الزمنية المعتمدة]]-P_FACT[[#This Row],[المدة المنقضبة]])/P_FACT[[#This Row],[اجمالى المدة الزمنية المعتمدة]]</f>
        <v>7.1074766355140184</v>
      </c>
    </row>
    <row r="42" spans="1:28" ht="22.5" customHeight="1" x14ac:dyDescent="0.3">
      <c r="A42" s="7" t="str" cm="1">
        <f t="array" ref="A42">_xlfn.XLOOKUP(P_FACT[[#This Row],[PROJECT ID]],Table3[PROJECT ID],Sheet1!$D$2:$D$142)</f>
        <v>شركة المقاولون العرب الغينية</v>
      </c>
      <c r="B42" s="5">
        <v>1078</v>
      </c>
      <c r="C42" s="5" t="s">
        <v>47</v>
      </c>
      <c r="D42" s="6">
        <v>46234</v>
      </c>
      <c r="E42" s="5" t="s">
        <v>62</v>
      </c>
      <c r="F42" s="10" t="s">
        <v>63</v>
      </c>
      <c r="G42" s="5">
        <v>100000000</v>
      </c>
      <c r="H42" s="5">
        <v>93874634.099999994</v>
      </c>
      <c r="I42" s="4">
        <f>P_FACT[[#This Row],[منفذ شامل مستخلص داخلى
(B)]]/P_FACT[[#This Row],[اجمالى القيمة التعاقدية
(A)]]</f>
        <v>0.93874634099999998</v>
      </c>
      <c r="J42" s="5">
        <v>93874634.099999994</v>
      </c>
      <c r="K42" s="4">
        <f>P_FACT[[#This Row],[منفذ معتمد
(C)]]/P_FACT[[#This Row],[اجمالى القيمة التعاقدية
(A)]]</f>
        <v>0.93874634099999998</v>
      </c>
      <c r="L42" s="5">
        <v>93381287.088333338</v>
      </c>
      <c r="M42" s="4">
        <f>IF(P_FACT[[#This Row],[منفذ معتمد
(C)]]&gt;0,P_FACT[[#This Row],[اعمال مسدده
(D)]]/P_FACT[[#This Row],[منفذ معتمد
(C)]],0)</f>
        <v>0.99474461853943297</v>
      </c>
      <c r="N42" s="5">
        <v>93381287.088333338</v>
      </c>
      <c r="O42" s="4">
        <f>IF(P_FACT[[#This Row],[منفذ معتمد
(C)]]&gt;0,P_FACT[[#This Row],[سيولة محصلة
(F)]]/P_FACT[[#This Row],[منفذ معتمد
(C)]],0)</f>
        <v>0.99474461853943297</v>
      </c>
      <c r="P42" s="5">
        <v>493347.01166666666</v>
      </c>
      <c r="Q42" s="4">
        <f>IF(P_FACT[[#This Row],[منفذ شامل مستخلص داخلى
(B)]]&gt;0,P_FACT[[#This Row],[الاعمال القابلة للصرف
(H)]]/P_FACT[[#This Row],[منفذ شامل مستخلص داخلى
(B)]],0)</f>
        <v>5.2553814605671703E-3</v>
      </c>
      <c r="R42" s="5">
        <v>0</v>
      </c>
      <c r="S42" s="4">
        <f>IF(P_FACT[[#This Row],[منفذ معتمد
(C)]]&gt;0,P_FACT[[#This Row],[غير قابلة للصرف
(G)]]/P_FACT[[#This Row],[منفذ معتمد
(C)]],0)</f>
        <v>0</v>
      </c>
      <c r="T42" s="5">
        <v>1041069.6916666667</v>
      </c>
      <c r="U42" s="4">
        <f>IF(P_FACT[[#This Row],[منفذ معتمد
(C)]]&gt;0,P_FACT[[#This Row],[الربحية
(I)]]/P_FACT[[#This Row],[منفذ معتمد
(C)]],0)</f>
        <v>1.1089999994648892E-2</v>
      </c>
      <c r="V42" s="5">
        <v>9013983.1850000005</v>
      </c>
      <c r="W42" s="4">
        <f>IF(P_FACT[[#This Row],[منفذ معتمد
(C)]]&gt;0,P_FACT[[#This Row],[الاجور
(J)]]/P_FACT[[#This Row],[منفذ معتمد
(C)]],0)</f>
        <v>9.6021500072083918E-2</v>
      </c>
      <c r="X42" s="6">
        <v>41040</v>
      </c>
      <c r="Y42" s="6">
        <v>42735</v>
      </c>
      <c r="Z42" s="2">
        <f>P_FACT[[#This Row],[تاريخ نهو المشروع المعدل شامل مد مدة الزمنى]]-P_FACT[[#This Row],[تاريخ بدء المشروع التعاقدى]]</f>
        <v>1695</v>
      </c>
      <c r="AA42" s="2">
        <f>P_FACT[[#This Row],[تاريخ نهو المشروع المعدل شامل مد مدة الزمنى]]-P_FACT[[#This Row],[تاريخ تحديث البيان]]</f>
        <v>-3499</v>
      </c>
      <c r="AB42" s="3">
        <f>(P_FACT[[#This Row],[اجمالى المدة الزمنية المعتمدة]]-P_FACT[[#This Row],[المدة المنقضبة]])/P_FACT[[#This Row],[اجمالى المدة الزمنية المعتمدة]]</f>
        <v>3.0643067846607668</v>
      </c>
    </row>
    <row r="43" spans="1:28" ht="22.5" customHeight="1" x14ac:dyDescent="0.3">
      <c r="A43" s="8" t="str" cm="1">
        <f t="array" ref="A43">_xlfn.XLOOKUP(P_FACT[[#This Row],[PROJECT ID]],Table3[PROJECT ID],Sheet1!$D$2:$D$142)</f>
        <v>شركة المقاولون العرب الغينية</v>
      </c>
      <c r="B43" s="5">
        <v>1079</v>
      </c>
      <c r="C43" s="5" t="s">
        <v>47</v>
      </c>
      <c r="D43" s="6">
        <v>46234</v>
      </c>
      <c r="E43" s="5" t="s">
        <v>78</v>
      </c>
      <c r="F43" s="10" t="s">
        <v>79</v>
      </c>
      <c r="G43" s="5">
        <v>37723676.738333337</v>
      </c>
      <c r="H43" s="5">
        <v>26583409.920000002</v>
      </c>
      <c r="I43" s="4">
        <f>P_FACT[[#This Row],[منفذ شامل مستخلص داخلى
(B)]]/P_FACT[[#This Row],[اجمالى القيمة التعاقدية
(A)]]</f>
        <v>0.70468767146938704</v>
      </c>
      <c r="J43" s="5">
        <v>26583409.920000002</v>
      </c>
      <c r="K43" s="4">
        <f>P_FACT[[#This Row],[منفذ معتمد
(C)]]/P_FACT[[#This Row],[اجمالى القيمة التعاقدية
(A)]]</f>
        <v>0.70468767146938704</v>
      </c>
      <c r="L43" s="5">
        <v>25533999.805</v>
      </c>
      <c r="M43" s="4">
        <f>IF(P_FACT[[#This Row],[منفذ معتمد
(C)]]&gt;0,P_FACT[[#This Row],[اعمال مسدده
(D)]]/P_FACT[[#This Row],[منفذ معتمد
(C)]],0)</f>
        <v>0.9605238711603179</v>
      </c>
      <c r="N43" s="5">
        <v>25533999.805</v>
      </c>
      <c r="O43" s="4">
        <f>IF(P_FACT[[#This Row],[منفذ معتمد
(C)]]&gt;0,P_FACT[[#This Row],[سيولة محصلة
(F)]]/P_FACT[[#This Row],[منفذ معتمد
(C)]],0)</f>
        <v>0.9605238711603179</v>
      </c>
      <c r="P43" s="5">
        <v>1049410.115</v>
      </c>
      <c r="Q43" s="4">
        <f>IF(P_FACT[[#This Row],[منفذ شامل مستخلص داخلى
(B)]]&gt;0,P_FACT[[#This Row],[الاعمال القابلة للصرف
(H)]]/P_FACT[[#This Row],[منفذ شامل مستخلص داخلى
(B)]],0)</f>
        <v>3.9476128839681976E-2</v>
      </c>
      <c r="R43" s="5">
        <v>0</v>
      </c>
      <c r="S43" s="4">
        <f>IF(P_FACT[[#This Row],[منفذ معتمد
(C)]]&gt;0,P_FACT[[#This Row],[غير قابلة للصرف
(G)]]/P_FACT[[#This Row],[منفذ معتمد
(C)]],0)</f>
        <v>0</v>
      </c>
      <c r="T43" s="5">
        <v>315092.44666666666</v>
      </c>
      <c r="U43" s="4">
        <f>IF(P_FACT[[#This Row],[منفذ معتمد
(C)]]&gt;0,P_FACT[[#This Row],[الربحية
(I)]]/P_FACT[[#This Row],[منفذ معتمد
(C)]],0)</f>
        <v>1.1852973249666032E-2</v>
      </c>
      <c r="V43" s="5">
        <v>2630004.6466666665</v>
      </c>
      <c r="W43" s="4">
        <f>IF(P_FACT[[#This Row],[منفذ معتمد
(C)]]&gt;0,P_FACT[[#This Row],[الاجور
(J)]]/P_FACT[[#This Row],[منفذ معتمد
(C)]],0)</f>
        <v>9.8934059045900843E-2</v>
      </c>
      <c r="X43" s="6">
        <v>41355</v>
      </c>
      <c r="Y43" s="6">
        <v>42277</v>
      </c>
      <c r="Z43" s="2">
        <f>P_FACT[[#This Row],[تاريخ نهو المشروع المعدل شامل مد مدة الزمنى]]-P_FACT[[#This Row],[تاريخ بدء المشروع التعاقدى]]</f>
        <v>922</v>
      </c>
      <c r="AA43" s="2">
        <f>P_FACT[[#This Row],[تاريخ نهو المشروع المعدل شامل مد مدة الزمنى]]-P_FACT[[#This Row],[تاريخ تحديث البيان]]</f>
        <v>-3957</v>
      </c>
      <c r="AB43" s="3">
        <f>(P_FACT[[#This Row],[اجمالى المدة الزمنية المعتمدة]]-P_FACT[[#This Row],[المدة المنقضبة]])/P_FACT[[#This Row],[اجمالى المدة الزمنية المعتمدة]]</f>
        <v>5.2917570498915403</v>
      </c>
    </row>
    <row r="44" spans="1:28" ht="22.5" customHeight="1" x14ac:dyDescent="0.3">
      <c r="A44" s="7" t="str" cm="1">
        <f t="array" ref="A44">_xlfn.XLOOKUP(P_FACT[[#This Row],[PROJECT ID]],Table3[PROJECT ID],Sheet1!$D$2:$D$142)</f>
        <v>شركة المقاولون العرب الغينية</v>
      </c>
      <c r="B44" s="5">
        <v>1080</v>
      </c>
      <c r="C44" s="5" t="s">
        <v>47</v>
      </c>
      <c r="D44" s="6">
        <v>46234</v>
      </c>
      <c r="E44" s="5" t="s">
        <v>57</v>
      </c>
      <c r="F44" s="10" t="s">
        <v>58</v>
      </c>
      <c r="G44" s="5">
        <v>16666666.666666666</v>
      </c>
      <c r="H44" s="5">
        <v>7140503.7400000002</v>
      </c>
      <c r="I44" s="4">
        <f>P_FACT[[#This Row],[منفذ شامل مستخلص داخلى
(B)]]/P_FACT[[#This Row],[اجمالى القيمة التعاقدية
(A)]]</f>
        <v>0.4284302244</v>
      </c>
      <c r="J44" s="5">
        <v>7140503.7400000002</v>
      </c>
      <c r="K44" s="4">
        <f>P_FACT[[#This Row],[منفذ معتمد
(C)]]/P_FACT[[#This Row],[اجمالى القيمة التعاقدية
(A)]]</f>
        <v>0.4284302244</v>
      </c>
      <c r="L44" s="5">
        <v>5422268.9333333336</v>
      </c>
      <c r="M44" s="4">
        <f>IF(P_FACT[[#This Row],[منفذ معتمد
(C)]]&gt;0,P_FACT[[#This Row],[اعمال مسدده
(D)]]/P_FACT[[#This Row],[منفذ معتمد
(C)]],0)</f>
        <v>0.7593678444503319</v>
      </c>
      <c r="N44" s="5">
        <v>5422268.9333333336</v>
      </c>
      <c r="O44" s="4">
        <f>IF(P_FACT[[#This Row],[منفذ معتمد
(C)]]&gt;0,P_FACT[[#This Row],[سيولة محصلة
(F)]]/P_FACT[[#This Row],[منفذ معتمد
(C)]],0)</f>
        <v>0.7593678444503319</v>
      </c>
      <c r="P44" s="5">
        <v>1718234.8066666666</v>
      </c>
      <c r="Q44" s="4">
        <f>IF(P_FACT[[#This Row],[منفذ شامل مستخلص داخلى
(B)]]&gt;0,P_FACT[[#This Row],[الاعمال القابلة للصرف
(H)]]/P_FACT[[#This Row],[منفذ شامل مستخلص داخلى
(B)]],0)</f>
        <v>0.24063215554966808</v>
      </c>
      <c r="R44" s="5">
        <v>0</v>
      </c>
      <c r="S44" s="4">
        <f>IF(P_FACT[[#This Row],[منفذ معتمد
(C)]]&gt;0,P_FACT[[#This Row],[غير قابلة للصرف
(G)]]/P_FACT[[#This Row],[منفذ معتمد
(C)]],0)</f>
        <v>0</v>
      </c>
      <c r="T44" s="5">
        <v>677599.53</v>
      </c>
      <c r="U44" s="4">
        <f>IF(P_FACT[[#This Row],[منفذ معتمد
(C)]]&gt;0,P_FACT[[#This Row],[الربحية
(I)]]/P_FACT[[#This Row],[منفذ معتمد
(C)]],0)</f>
        <v>9.4895199928849844E-2</v>
      </c>
      <c r="V44" s="5">
        <v>1143918.6966666668</v>
      </c>
      <c r="W44" s="4">
        <f>IF(P_FACT[[#This Row],[منفذ معتمد
(C)]]&gt;0,P_FACT[[#This Row],[الاجور
(J)]]/P_FACT[[#This Row],[منفذ معتمد
(C)]],0)</f>
        <v>0.16020140011391784</v>
      </c>
      <c r="X44" s="6">
        <v>41703</v>
      </c>
      <c r="Y44" s="6">
        <v>42735</v>
      </c>
      <c r="Z44" s="2">
        <f>P_FACT[[#This Row],[تاريخ نهو المشروع المعدل شامل مد مدة الزمنى]]-P_FACT[[#This Row],[تاريخ بدء المشروع التعاقدى]]</f>
        <v>1032</v>
      </c>
      <c r="AA44" s="2">
        <f>P_FACT[[#This Row],[تاريخ نهو المشروع المعدل شامل مد مدة الزمنى]]-P_FACT[[#This Row],[تاريخ تحديث البيان]]</f>
        <v>-3499</v>
      </c>
      <c r="AB44" s="3">
        <f>(P_FACT[[#This Row],[اجمالى المدة الزمنية المعتمدة]]-P_FACT[[#This Row],[المدة المنقضبة]])/P_FACT[[#This Row],[اجمالى المدة الزمنية المعتمدة]]</f>
        <v>4.3905038759689923</v>
      </c>
    </row>
    <row r="45" spans="1:28" ht="22.5" customHeight="1" x14ac:dyDescent="0.3">
      <c r="A45" s="8" t="str" cm="1">
        <f t="array" ref="A45">_xlfn.XLOOKUP(P_FACT[[#This Row],[PROJECT ID]],Table3[PROJECT ID],Sheet1!$D$2:$D$142)</f>
        <v>شركة المقاولون العرب الغينية</v>
      </c>
      <c r="B45" s="5">
        <v>1081</v>
      </c>
      <c r="C45" s="5" t="s">
        <v>47</v>
      </c>
      <c r="D45" s="6">
        <v>46234</v>
      </c>
      <c r="E45" s="5" t="s">
        <v>64</v>
      </c>
      <c r="F45" s="10" t="s">
        <v>65</v>
      </c>
      <c r="G45" s="5">
        <v>22923864.666666668</v>
      </c>
      <c r="H45" s="5">
        <v>21807286.666666668</v>
      </c>
      <c r="I45" s="4">
        <f>P_FACT[[#This Row],[منفذ شامل مستخلص داخلى
(B)]]/P_FACT[[#This Row],[اجمالى القيمة التعاقدية
(A)]]</f>
        <v>0.95129189531363778</v>
      </c>
      <c r="J45" s="5">
        <v>21807286.666666668</v>
      </c>
      <c r="K45" s="4">
        <f>P_FACT[[#This Row],[منفذ معتمد
(C)]]/P_FACT[[#This Row],[اجمالى القيمة التعاقدية
(A)]]</f>
        <v>0.95129189531363778</v>
      </c>
      <c r="L45" s="5">
        <v>13430859.306666667</v>
      </c>
      <c r="M45" s="4">
        <f>IF(P_FACT[[#This Row],[منفذ معتمد
(C)]]&gt;0,P_FACT[[#This Row],[اعمال مسدده
(D)]]/P_FACT[[#This Row],[منفذ معتمد
(C)]],0)</f>
        <v>0.61588860237235687</v>
      </c>
      <c r="N45" s="5">
        <v>13430859.306666667</v>
      </c>
      <c r="O45" s="4">
        <f>IF(P_FACT[[#This Row],[منفذ معتمد
(C)]]&gt;0,P_FACT[[#This Row],[سيولة محصلة
(F)]]/P_FACT[[#This Row],[منفذ معتمد
(C)]],0)</f>
        <v>0.61588860237235687</v>
      </c>
      <c r="P45" s="5">
        <v>8376427.3600000003</v>
      </c>
      <c r="Q45" s="4">
        <f>IF(P_FACT[[#This Row],[منفذ شامل مستخلص داخلى
(B)]]&gt;0,P_FACT[[#This Row],[الاعمال القابلة للصرف
(H)]]/P_FACT[[#This Row],[منفذ شامل مستخلص داخلى
(B)]],0)</f>
        <v>0.38411139762764313</v>
      </c>
      <c r="R45" s="5">
        <v>0</v>
      </c>
      <c r="S45" s="4">
        <f>IF(P_FACT[[#This Row],[منفذ معتمد
(C)]]&gt;0,P_FACT[[#This Row],[غير قابلة للصرف
(G)]]/P_FACT[[#This Row],[منفذ معتمد
(C)]],0)</f>
        <v>0</v>
      </c>
      <c r="T45" s="5">
        <v>2420290.87</v>
      </c>
      <c r="U45" s="4">
        <f>IF(P_FACT[[#This Row],[منفذ معتمد
(C)]]&gt;0,P_FACT[[#This Row],[الربحية
(I)]]/P_FACT[[#This Row],[منفذ معتمد
(C)]],0)</f>
        <v>0.11098542001098716</v>
      </c>
      <c r="V45" s="5">
        <v>3256172.33</v>
      </c>
      <c r="W45" s="4">
        <f>IF(P_FACT[[#This Row],[منفذ معتمد
(C)]]&gt;0,P_FACT[[#This Row],[الاجور
(J)]]/P_FACT[[#This Row],[منفذ معتمد
(C)]],0)</f>
        <v>0.14931579429261105</v>
      </c>
      <c r="X45" s="6">
        <v>41639</v>
      </c>
      <c r="Y45" s="6">
        <v>42735</v>
      </c>
      <c r="Z45" s="2">
        <f>P_FACT[[#This Row],[تاريخ نهو المشروع المعدل شامل مد مدة الزمنى]]-P_FACT[[#This Row],[تاريخ بدء المشروع التعاقدى]]</f>
        <v>1096</v>
      </c>
      <c r="AA45" s="2">
        <f>P_FACT[[#This Row],[تاريخ نهو المشروع المعدل شامل مد مدة الزمنى]]-P_FACT[[#This Row],[تاريخ تحديث البيان]]</f>
        <v>-3499</v>
      </c>
      <c r="AB45" s="3">
        <f>(P_FACT[[#This Row],[اجمالى المدة الزمنية المعتمدة]]-P_FACT[[#This Row],[المدة المنقضبة]])/P_FACT[[#This Row],[اجمالى المدة الزمنية المعتمدة]]</f>
        <v>4.1925182481751824</v>
      </c>
    </row>
    <row r="46" spans="1:28" ht="22.5" customHeight="1" x14ac:dyDescent="0.3">
      <c r="A46" s="7" t="str" cm="1">
        <f t="array" ref="A46">_xlfn.XLOOKUP(P_FACT[[#This Row],[PROJECT ID]],Table3[PROJECT ID],Sheet1!$D$2:$D$142)</f>
        <v>شركة المقاولون العرب الغينية</v>
      </c>
      <c r="B46" s="5">
        <v>1082</v>
      </c>
      <c r="C46" s="5" t="s">
        <v>47</v>
      </c>
      <c r="D46" s="6">
        <v>46234</v>
      </c>
      <c r="E46" s="5" t="s">
        <v>66</v>
      </c>
      <c r="F46" s="10" t="s">
        <v>67</v>
      </c>
      <c r="G46" s="5">
        <v>10000000</v>
      </c>
      <c r="H46" s="5">
        <v>7653800.585</v>
      </c>
      <c r="I46" s="4">
        <f>P_FACT[[#This Row],[منفذ شامل مستخلص داخلى
(B)]]/P_FACT[[#This Row],[اجمالى القيمة التعاقدية
(A)]]</f>
        <v>0.76538005850000002</v>
      </c>
      <c r="J46" s="5">
        <v>7653800.585</v>
      </c>
      <c r="K46" s="4">
        <f>P_FACT[[#This Row],[منفذ معتمد
(C)]]/P_FACT[[#This Row],[اجمالى القيمة التعاقدية
(A)]]</f>
        <v>0.76538005850000002</v>
      </c>
      <c r="L46" s="5">
        <v>6509615.291666667</v>
      </c>
      <c r="M46" s="4">
        <f>IF(P_FACT[[#This Row],[منفذ معتمد
(C)]]&gt;0,P_FACT[[#This Row],[اعمال مسدده
(D)]]/P_FACT[[#This Row],[منفذ معتمد
(C)]],0)</f>
        <v>0.85050756410145834</v>
      </c>
      <c r="N46" s="5">
        <v>6509615.291666667</v>
      </c>
      <c r="O46" s="4">
        <f>IF(P_FACT[[#This Row],[منفذ معتمد
(C)]]&gt;0,P_FACT[[#This Row],[سيولة محصلة
(F)]]/P_FACT[[#This Row],[منفذ معتمد
(C)]],0)</f>
        <v>0.85050756410145834</v>
      </c>
      <c r="P46" s="5">
        <v>1144185.2933333332</v>
      </c>
      <c r="Q46" s="4">
        <f>IF(P_FACT[[#This Row],[منفذ شامل مستخلص داخلى
(B)]]&gt;0,P_FACT[[#This Row],[الاعمال القابلة للصرف
(H)]]/P_FACT[[#This Row],[منفذ شامل مستخلص داخلى
(B)]],0)</f>
        <v>0.14949243589854166</v>
      </c>
      <c r="R46" s="5">
        <v>0</v>
      </c>
      <c r="S46" s="4">
        <f>IF(P_FACT[[#This Row],[منفذ معتمد
(C)]]&gt;0,P_FACT[[#This Row],[غير قابلة للصرف
(G)]]/P_FACT[[#This Row],[منفذ معتمد
(C)]],0)</f>
        <v>0</v>
      </c>
      <c r="T46" s="5">
        <v>500585.81333333335</v>
      </c>
      <c r="U46" s="4">
        <f>IF(P_FACT[[#This Row],[منفذ معتمد
(C)]]&gt;0,P_FACT[[#This Row],[الربحية
(I)]]/P_FACT[[#This Row],[منفذ معتمد
(C)]],0)</f>
        <v>6.5403560985686865E-2</v>
      </c>
      <c r="V46" s="5">
        <v>1084034.6983333332</v>
      </c>
      <c r="W46" s="4">
        <f>IF(P_FACT[[#This Row],[منفذ معتمد
(C)]]&gt;0,P_FACT[[#This Row],[الاجور
(J)]]/P_FACT[[#This Row],[منفذ معتمد
(C)]],0)</f>
        <v>0.14163351740020977</v>
      </c>
      <c r="X46" s="6">
        <v>41460</v>
      </c>
      <c r="Y46" s="6">
        <v>42189</v>
      </c>
      <c r="Z46" s="2">
        <f>P_FACT[[#This Row],[تاريخ نهو المشروع المعدل شامل مد مدة الزمنى]]-P_FACT[[#This Row],[تاريخ بدء المشروع التعاقدى]]</f>
        <v>729</v>
      </c>
      <c r="AA46" s="2">
        <f>P_FACT[[#This Row],[تاريخ نهو المشروع المعدل شامل مد مدة الزمنى]]-P_FACT[[#This Row],[تاريخ تحديث البيان]]</f>
        <v>-4045</v>
      </c>
      <c r="AB46" s="3">
        <f>(P_FACT[[#This Row],[اجمالى المدة الزمنية المعتمدة]]-P_FACT[[#This Row],[المدة المنقضبة]])/P_FACT[[#This Row],[اجمالى المدة الزمنية المعتمدة]]</f>
        <v>6.5486968449931409</v>
      </c>
    </row>
    <row r="47" spans="1:28" ht="22.5" customHeight="1" x14ac:dyDescent="0.3">
      <c r="A47" s="8" t="str" cm="1">
        <f t="array" ref="A47">_xlfn.XLOOKUP(P_FACT[[#This Row],[PROJECT ID]],Table3[PROJECT ID],Sheet1!$D$2:$D$142)</f>
        <v>شركة المقاولون العرب الغينية</v>
      </c>
      <c r="B47" s="5">
        <v>1083</v>
      </c>
      <c r="C47" s="5" t="s">
        <v>47</v>
      </c>
      <c r="D47" s="6">
        <v>46234</v>
      </c>
      <c r="E47" s="5" t="s">
        <v>60</v>
      </c>
      <c r="F47" s="10" t="s">
        <v>61</v>
      </c>
      <c r="G47" s="5">
        <v>1666666.6666666667</v>
      </c>
      <c r="H47" s="5">
        <v>1632433.8233333332</v>
      </c>
      <c r="I47" s="4">
        <f>P_FACT[[#This Row],[منفذ شامل مستخلص داخلى
(B)]]/P_FACT[[#This Row],[اجمالى القيمة التعاقدية
(A)]]</f>
        <v>0.9794602939999999</v>
      </c>
      <c r="J47" s="5">
        <v>1632433.8233333332</v>
      </c>
      <c r="K47" s="4">
        <f>P_FACT[[#This Row],[منفذ معتمد
(C)]]/P_FACT[[#This Row],[اجمالى القيمة التعاقدية
(A)]]</f>
        <v>0.9794602939999999</v>
      </c>
      <c r="L47" s="5">
        <v>750000</v>
      </c>
      <c r="M47" s="4">
        <f>IF(P_FACT[[#This Row],[منفذ معتمد
(C)]]&gt;0,P_FACT[[#This Row],[اعمال مسدده
(D)]]/P_FACT[[#This Row],[منفذ معتمد
(C)]],0)</f>
        <v>0.45943669463338144</v>
      </c>
      <c r="N47" s="5">
        <v>750000</v>
      </c>
      <c r="O47" s="4">
        <f>IF(P_FACT[[#This Row],[منفذ معتمد
(C)]]&gt;0,P_FACT[[#This Row],[سيولة محصلة
(F)]]/P_FACT[[#This Row],[منفذ معتمد
(C)]],0)</f>
        <v>0.45943669463338144</v>
      </c>
      <c r="P47" s="5">
        <v>882433.82333333336</v>
      </c>
      <c r="Q47" s="4">
        <f>IF(P_FACT[[#This Row],[منفذ شامل مستخلص داخلى
(B)]]&gt;0,P_FACT[[#This Row],[الاعمال القابلة للصرف
(H)]]/P_FACT[[#This Row],[منفذ شامل مستخلص داخلى
(B)]],0)</f>
        <v>0.54056330536661856</v>
      </c>
      <c r="R47" s="5">
        <v>0</v>
      </c>
      <c r="S47" s="4">
        <f>IF(P_FACT[[#This Row],[منفذ معتمد
(C)]]&gt;0,P_FACT[[#This Row],[غير قابلة للصرف
(G)]]/P_FACT[[#This Row],[منفذ معتمد
(C)]],0)</f>
        <v>0</v>
      </c>
      <c r="T47" s="5">
        <v>106769.34785000001</v>
      </c>
      <c r="U47" s="4">
        <f>IF(P_FACT[[#This Row],[منفذ معتمد
(C)]]&gt;0,P_FACT[[#This Row],[الربحية
(I)]]/P_FACT[[#This Row],[منفذ معتمد
(C)]],0)</f>
        <v>6.5405008352487651E-2</v>
      </c>
      <c r="V47" s="5">
        <v>185748.06</v>
      </c>
      <c r="W47" s="4">
        <f>IF(P_FACT[[#This Row],[منفذ معتمد
(C)]]&gt;0,P_FACT[[#This Row],[الاجور
(J)]]/P_FACT[[#This Row],[منفذ معتمد
(C)]],0)</f>
        <v>0.11378596629461736</v>
      </c>
      <c r="X47" s="6">
        <v>43221</v>
      </c>
      <c r="Y47" s="6">
        <v>43952</v>
      </c>
      <c r="Z47" s="2">
        <f>P_FACT[[#This Row],[تاريخ نهو المشروع المعدل شامل مد مدة الزمنى]]-P_FACT[[#This Row],[تاريخ بدء المشروع التعاقدى]]</f>
        <v>731</v>
      </c>
      <c r="AA47" s="2">
        <f>P_FACT[[#This Row],[تاريخ نهو المشروع المعدل شامل مد مدة الزمنى]]-P_FACT[[#This Row],[تاريخ تحديث البيان]]</f>
        <v>-2282</v>
      </c>
      <c r="AB47" s="3">
        <f>(P_FACT[[#This Row],[اجمالى المدة الزمنية المعتمدة]]-P_FACT[[#This Row],[المدة المنقضبة]])/P_FACT[[#This Row],[اجمالى المدة الزمنية المعتمدة]]</f>
        <v>4.1217510259917924</v>
      </c>
    </row>
    <row r="48" spans="1:28" ht="22.5" customHeight="1" x14ac:dyDescent="0.3">
      <c r="A48" s="7" t="str" cm="1">
        <f t="array" ref="A48">_xlfn.XLOOKUP(P_FACT[[#This Row],[PROJECT ID]],Table3[PROJECT ID],Sheet1!$D$2:$D$142)</f>
        <v>شركة المقاولون العرب الغينية</v>
      </c>
      <c r="B48" s="5">
        <v>1084</v>
      </c>
      <c r="C48" s="5" t="s">
        <v>47</v>
      </c>
      <c r="D48" s="6">
        <v>46234</v>
      </c>
      <c r="E48" s="5" t="s">
        <v>56</v>
      </c>
      <c r="F48" s="10" t="s">
        <v>217</v>
      </c>
      <c r="G48" s="5">
        <v>11677336.803333333</v>
      </c>
      <c r="H48" s="5">
        <v>11157913.838333333</v>
      </c>
      <c r="I48" s="4">
        <f>P_FACT[[#This Row],[منفذ شامل مستخلص داخلى
(B)]]/P_FACT[[#This Row],[اجمالى القيمة التعاقدية
(A)]]</f>
        <v>0.95551871340631978</v>
      </c>
      <c r="J48" s="5">
        <v>11157913.838333333</v>
      </c>
      <c r="K48" s="4">
        <f>P_FACT[[#This Row],[منفذ معتمد
(C)]]/P_FACT[[#This Row],[اجمالى القيمة التعاقدية
(A)]]</f>
        <v>0.95551871340631978</v>
      </c>
      <c r="L48" s="5">
        <v>10374724.859999999</v>
      </c>
      <c r="M48" s="4">
        <f>IF(P_FACT[[#This Row],[منفذ معتمد
(C)]]&gt;0,P_FACT[[#This Row],[اعمال مسدده
(D)]]/P_FACT[[#This Row],[منفذ معتمد
(C)]],0)</f>
        <v>0.92980865512308719</v>
      </c>
      <c r="N48" s="5">
        <v>10374724.859999999</v>
      </c>
      <c r="O48" s="4">
        <f>IF(P_FACT[[#This Row],[منفذ معتمد
(C)]]&gt;0,P_FACT[[#This Row],[سيولة محصلة
(F)]]/P_FACT[[#This Row],[منفذ معتمد
(C)]],0)</f>
        <v>0.92980865512308719</v>
      </c>
      <c r="P48" s="5">
        <v>783188.97833333339</v>
      </c>
      <c r="Q48" s="4">
        <f>IF(P_FACT[[#This Row],[منفذ شامل مستخلص داخلى
(B)]]&gt;0,P_FACT[[#This Row],[الاعمال القابلة للصرف
(H)]]/P_FACT[[#This Row],[منفذ شامل مستخلص داخلى
(B)]],0)</f>
        <v>7.0191344876912851E-2</v>
      </c>
      <c r="R48" s="5">
        <v>0</v>
      </c>
      <c r="S48" s="4">
        <f>IF(P_FACT[[#This Row],[منفذ معتمد
(C)]]&gt;0,P_FACT[[#This Row],[غير قابلة للصرف
(G)]]/P_FACT[[#This Row],[منفذ معتمد
(C)]],0)</f>
        <v>0</v>
      </c>
      <c r="T48" s="5">
        <v>190503.73166666666</v>
      </c>
      <c r="U48" s="4">
        <f>IF(P_FACT[[#This Row],[منفذ معتمد
(C)]]&gt;0,P_FACT[[#This Row],[الربحية
(I)]]/P_FACT[[#This Row],[منفذ معتمد
(C)]],0)</f>
        <v>1.7073418420940449E-2</v>
      </c>
      <c r="V48" s="5">
        <v>1951430.95</v>
      </c>
      <c r="W48" s="4">
        <f>IF(P_FACT[[#This Row],[منفذ معتمد
(C)]]&gt;0,P_FACT[[#This Row],[الاجور
(J)]]/P_FACT[[#This Row],[منفذ معتمد
(C)]],0)</f>
        <v>0.1748920970599184</v>
      </c>
      <c r="X48" s="6">
        <v>43308</v>
      </c>
      <c r="Y48" s="6">
        <v>44404</v>
      </c>
      <c r="Z48" s="2">
        <f>P_FACT[[#This Row],[تاريخ نهو المشروع المعدل شامل مد مدة الزمنى]]-P_FACT[[#This Row],[تاريخ بدء المشروع التعاقدى]]</f>
        <v>1096</v>
      </c>
      <c r="AA48" s="2">
        <f>P_FACT[[#This Row],[تاريخ نهو المشروع المعدل شامل مد مدة الزمنى]]-P_FACT[[#This Row],[تاريخ تحديث البيان]]</f>
        <v>-1830</v>
      </c>
      <c r="AB48" s="3">
        <f>(P_FACT[[#This Row],[اجمالى المدة الزمنية المعتمدة]]-P_FACT[[#This Row],[المدة المنقضبة]])/P_FACT[[#This Row],[اجمالى المدة الزمنية المعتمدة]]</f>
        <v>2.6697080291970803</v>
      </c>
    </row>
    <row r="49" spans="1:28" ht="22.5" customHeight="1" x14ac:dyDescent="0.3">
      <c r="A49" s="8" t="str" cm="1">
        <f t="array" ref="A49">_xlfn.XLOOKUP(P_FACT[[#This Row],[PROJECT ID]],Table3[PROJECT ID],Sheet1!$D$2:$D$142)</f>
        <v>شركة المقاولون العرب الغينية</v>
      </c>
      <c r="B49" s="5">
        <v>1085</v>
      </c>
      <c r="C49" s="5" t="s">
        <v>47</v>
      </c>
      <c r="D49" s="6">
        <v>46234</v>
      </c>
      <c r="E49" s="5" t="s">
        <v>59</v>
      </c>
      <c r="F49" s="10" t="s">
        <v>218</v>
      </c>
      <c r="G49" s="5">
        <v>4058848.3333333335</v>
      </c>
      <c r="H49" s="5">
        <v>2272570.4666666668</v>
      </c>
      <c r="I49" s="4">
        <f>P_FACT[[#This Row],[منفذ شامل مستخلص داخلى
(B)]]/P_FACT[[#This Row],[اجمالى القيمة التعاقدية
(A)]]</f>
        <v>0.559905244057325</v>
      </c>
      <c r="J49" s="5">
        <v>2272570.4666666668</v>
      </c>
      <c r="K49" s="4">
        <f>P_FACT[[#This Row],[منفذ معتمد
(C)]]/P_FACT[[#This Row],[اجمالى القيمة التعاقدية
(A)]]</f>
        <v>0.559905244057325</v>
      </c>
      <c r="L49" s="5">
        <v>720155.98166666669</v>
      </c>
      <c r="M49" s="4">
        <f>IF(P_FACT[[#This Row],[منفذ معتمد
(C)]]&gt;0,P_FACT[[#This Row],[اعمال مسدده
(D)]]/P_FACT[[#This Row],[منفذ معتمد
(C)]],0)</f>
        <v>0.31689049568745309</v>
      </c>
      <c r="N49" s="5">
        <v>720155.98166666669</v>
      </c>
      <c r="O49" s="4">
        <f>IF(P_FACT[[#This Row],[منفذ معتمد
(C)]]&gt;0,P_FACT[[#This Row],[سيولة محصلة
(F)]]/P_FACT[[#This Row],[منفذ معتمد
(C)]],0)</f>
        <v>0.31689049568745309</v>
      </c>
      <c r="P49" s="5">
        <v>1552414.4850000001</v>
      </c>
      <c r="Q49" s="4">
        <f>IF(P_FACT[[#This Row],[منفذ شامل مستخلص داخلى
(B)]]&gt;0,P_FACT[[#This Row],[الاعمال القابلة للصرف
(H)]]/P_FACT[[#This Row],[منفذ شامل مستخلص داخلى
(B)]],0)</f>
        <v>0.68310950431254691</v>
      </c>
      <c r="R49" s="5">
        <v>0</v>
      </c>
      <c r="S49" s="4">
        <f>IF(P_FACT[[#This Row],[منفذ معتمد
(C)]]&gt;0,P_FACT[[#This Row],[غير قابلة للصرف
(G)]]/P_FACT[[#This Row],[منفذ معتمد
(C)]],0)</f>
        <v>0</v>
      </c>
      <c r="T49" s="5">
        <v>25988.588333333333</v>
      </c>
      <c r="U49" s="4">
        <f>IF(P_FACT[[#This Row],[منفذ معتمد
(C)]]&gt;0,P_FACT[[#This Row],[الربحية
(I)]]/P_FACT[[#This Row],[منفذ معتمد
(C)]],0)</f>
        <v>1.1435767873659186E-2</v>
      </c>
      <c r="V49" s="5">
        <v>431844.44</v>
      </c>
      <c r="W49" s="4">
        <f>IF(P_FACT[[#This Row],[منفذ معتمد
(C)]]&gt;0,P_FACT[[#This Row],[الاجور
(J)]]/P_FACT[[#This Row],[منفذ معتمد
(C)]],0)</f>
        <v>0.190024664288371</v>
      </c>
      <c r="X49" s="6">
        <v>42583</v>
      </c>
      <c r="Y49" s="6">
        <v>42947</v>
      </c>
      <c r="Z49" s="2">
        <f>P_FACT[[#This Row],[تاريخ نهو المشروع المعدل شامل مد مدة الزمنى]]-P_FACT[[#This Row],[تاريخ بدء المشروع التعاقدى]]</f>
        <v>364</v>
      </c>
      <c r="AA49" s="2">
        <f>P_FACT[[#This Row],[تاريخ نهو المشروع المعدل شامل مد مدة الزمنى]]-P_FACT[[#This Row],[تاريخ تحديث البيان]]</f>
        <v>-3287</v>
      </c>
      <c r="AB49" s="3">
        <f>(P_FACT[[#This Row],[اجمالى المدة الزمنية المعتمدة]]-P_FACT[[#This Row],[المدة المنقضبة]])/P_FACT[[#This Row],[اجمالى المدة الزمنية المعتمدة]]</f>
        <v>10.030219780219781</v>
      </c>
    </row>
    <row r="50" spans="1:28" ht="22.5" customHeight="1" x14ac:dyDescent="0.3">
      <c r="A50" s="7" t="str" cm="1">
        <f t="array" ref="A50">_xlfn.XLOOKUP(P_FACT[[#This Row],[PROJECT ID]],Table3[PROJECT ID],Sheet1!$D$2:$D$142)</f>
        <v>شركة المقاولون العرب الغينية</v>
      </c>
      <c r="B50" s="5">
        <v>1086</v>
      </c>
      <c r="C50" s="5" t="s">
        <v>47</v>
      </c>
      <c r="D50" s="6">
        <v>46234</v>
      </c>
      <c r="E50" s="5" t="s">
        <v>68</v>
      </c>
      <c r="F50" s="10" t="s">
        <v>69</v>
      </c>
      <c r="G50" s="5">
        <v>10200000</v>
      </c>
      <c r="H50" s="5">
        <v>8216666.666666667</v>
      </c>
      <c r="I50" s="4">
        <f>P_FACT[[#This Row],[منفذ شامل مستخلص داخلى
(B)]]/P_FACT[[#This Row],[اجمالى القيمة التعاقدية
(A)]]</f>
        <v>0.80555555555555558</v>
      </c>
      <c r="J50" s="5">
        <v>8216666.666666667</v>
      </c>
      <c r="K50" s="4">
        <f>P_FACT[[#This Row],[منفذ معتمد
(C)]]/P_FACT[[#This Row],[اجمالى القيمة التعاقدية
(A)]]</f>
        <v>0.80555555555555558</v>
      </c>
      <c r="L50" s="5">
        <v>3284312.8333333335</v>
      </c>
      <c r="M50" s="4">
        <f>IF(P_FACT[[#This Row],[منفذ معتمد
(C)]]&gt;0,P_FACT[[#This Row],[اعمال مسدده
(D)]]/P_FACT[[#This Row],[منفذ معتمد
(C)]],0)</f>
        <v>0.39971352941176469</v>
      </c>
      <c r="N50" s="5">
        <v>3284312.8333333335</v>
      </c>
      <c r="O50" s="4">
        <f>IF(P_FACT[[#This Row],[منفذ معتمد
(C)]]&gt;0,P_FACT[[#This Row],[سيولة محصلة
(F)]]/P_FACT[[#This Row],[منفذ معتمد
(C)]],0)</f>
        <v>0.39971352941176469</v>
      </c>
      <c r="P50" s="5">
        <v>4932353.833333333</v>
      </c>
      <c r="Q50" s="4">
        <f>IF(P_FACT[[#This Row],[منفذ شامل مستخلص داخلى
(B)]]&gt;0,P_FACT[[#This Row],[الاعمال القابلة للصرف
(H)]]/P_FACT[[#This Row],[منفذ شامل مستخلص داخلى
(B)]],0)</f>
        <v>0.60028647058823525</v>
      </c>
      <c r="R50" s="5">
        <v>0</v>
      </c>
      <c r="S50" s="4">
        <f>IF(P_FACT[[#This Row],[منفذ معتمد
(C)]]&gt;0,P_FACT[[#This Row],[غير قابلة للصرف
(G)]]/P_FACT[[#This Row],[منفذ معتمد
(C)]],0)</f>
        <v>0</v>
      </c>
      <c r="T50" s="5">
        <v>452353.35</v>
      </c>
      <c r="U50" s="4">
        <f>IF(P_FACT[[#This Row],[منفذ معتمد
(C)]]&gt;0,P_FACT[[#This Row],[الربحية
(I)]]/P_FACT[[#This Row],[منفذ معتمد
(C)]],0)</f>
        <v>5.5053146044624739E-2</v>
      </c>
      <c r="V50" s="5">
        <v>1108104.5116666667</v>
      </c>
      <c r="W50" s="4">
        <f>IF(P_FACT[[#This Row],[منفذ معتمد
(C)]]&gt;0,P_FACT[[#This Row],[الاجور
(J)]]/P_FACT[[#This Row],[منفذ معتمد
(C)]],0)</f>
        <v>0.13486058965517242</v>
      </c>
      <c r="X50" s="6">
        <v>45352</v>
      </c>
      <c r="Y50" s="6">
        <v>46446</v>
      </c>
      <c r="Z50" s="2">
        <f>P_FACT[[#This Row],[تاريخ نهو المشروع المعدل شامل مد مدة الزمنى]]-P_FACT[[#This Row],[تاريخ بدء المشروع التعاقدى]]</f>
        <v>1094</v>
      </c>
      <c r="AA50" s="2">
        <f>P_FACT[[#This Row],[تاريخ نهو المشروع المعدل شامل مد مدة الزمنى]]-P_FACT[[#This Row],[تاريخ تحديث البيان]]</f>
        <v>212</v>
      </c>
      <c r="AB50" s="3">
        <f>(P_FACT[[#This Row],[اجمالى المدة الزمنية المعتمدة]]-P_FACT[[#This Row],[المدة المنقضبة]])/P_FACT[[#This Row],[اجمالى المدة الزمنية المعتمدة]]</f>
        <v>0.80621572212065817</v>
      </c>
    </row>
    <row r="51" spans="1:28" ht="22.5" customHeight="1" x14ac:dyDescent="0.3">
      <c r="A51" s="8" t="str" cm="1">
        <f t="array" ref="A51">_xlfn.XLOOKUP(P_FACT[[#This Row],[PROJECT ID]],Table3[PROJECT ID],Sheet1!$D$2:$D$142)</f>
        <v>شركة المقاولون العرب الغينية</v>
      </c>
      <c r="B51" s="5">
        <v>1107</v>
      </c>
      <c r="C51" s="5" t="s">
        <v>47</v>
      </c>
      <c r="D51" s="6">
        <v>46234</v>
      </c>
      <c r="E51" s="5" t="s">
        <v>162</v>
      </c>
      <c r="F51" s="10" t="s">
        <v>219</v>
      </c>
      <c r="G51" s="5">
        <v>30185185.184999999</v>
      </c>
      <c r="H51" s="5">
        <v>8661565.1999999993</v>
      </c>
      <c r="I51" s="4">
        <f>P_FACT[[#This Row],[منفذ شامل مستخلص داخلى
(B)]]/P_FACT[[#This Row],[اجمالى القيمة التعاقدية
(A)]]</f>
        <v>0.28694755877476652</v>
      </c>
      <c r="J51" s="5">
        <v>8661565.1999999993</v>
      </c>
      <c r="K51" s="4">
        <f>P_FACT[[#This Row],[منفذ معتمد
(C)]]/P_FACT[[#This Row],[اجمالى القيمة التعاقدية
(A)]]</f>
        <v>0.28694755877476652</v>
      </c>
      <c r="L51" s="5">
        <v>8661565.1999999993</v>
      </c>
      <c r="M51" s="4">
        <f>IF(P_FACT[[#This Row],[منفذ معتمد
(C)]]&gt;0,P_FACT[[#This Row],[اعمال مسدده
(D)]]/P_FACT[[#This Row],[منفذ معتمد
(C)]],0)</f>
        <v>1</v>
      </c>
      <c r="N51" s="5">
        <v>8661565.1999999993</v>
      </c>
      <c r="O51" s="4">
        <f>IF(P_FACT[[#This Row],[منفذ معتمد
(C)]]&gt;0,P_FACT[[#This Row],[سيولة محصلة
(F)]]/P_FACT[[#This Row],[منفذ معتمد
(C)]],0)</f>
        <v>1</v>
      </c>
      <c r="P51" s="5">
        <v>0</v>
      </c>
      <c r="Q51" s="4">
        <f>IF(P_FACT[[#This Row],[منفذ شامل مستخلص داخلى
(B)]]&gt;0,P_FACT[[#This Row],[الاعمال القابلة للصرف
(H)]]/P_FACT[[#This Row],[منفذ شامل مستخلص داخلى
(B)]],0)</f>
        <v>0</v>
      </c>
      <c r="R51" s="5">
        <v>0</v>
      </c>
      <c r="S51" s="4">
        <f>IF(P_FACT[[#This Row],[منفذ معتمد
(C)]]&gt;0,P_FACT[[#This Row],[غير قابلة للصرف
(G)]]/P_FACT[[#This Row],[منفذ معتمد
(C)]],0)</f>
        <v>0</v>
      </c>
      <c r="T51" s="5">
        <v>-1309862.7150000001</v>
      </c>
      <c r="U51" s="4">
        <f>IF(P_FACT[[#This Row],[منفذ معتمد
(C)]]&gt;0,P_FACT[[#This Row],[الربحية
(I)]]/P_FACT[[#This Row],[منفذ معتمد
(C)]],0)</f>
        <v>-0.15122702245547956</v>
      </c>
      <c r="V51" s="5">
        <v>1007760.72</v>
      </c>
      <c r="W51" s="4">
        <f>IF(P_FACT[[#This Row],[منفذ معتمد
(C)]]&gt;0,P_FACT[[#This Row],[الاجور
(J)]]/P_FACT[[#This Row],[منفذ معتمد
(C)]],0)</f>
        <v>0.11634856942484254</v>
      </c>
      <c r="X51" s="6">
        <v>45744</v>
      </c>
      <c r="Y51" s="6">
        <v>46296</v>
      </c>
      <c r="Z51" s="2">
        <f>P_FACT[[#This Row],[تاريخ نهو المشروع المعدل شامل مد مدة الزمنى]]-P_FACT[[#This Row],[تاريخ بدء المشروع التعاقدى]]</f>
        <v>552</v>
      </c>
      <c r="AA51" s="2">
        <f>P_FACT[[#This Row],[تاريخ نهو المشروع المعدل شامل مد مدة الزمنى]]-P_FACT[[#This Row],[تاريخ تحديث البيان]]</f>
        <v>62</v>
      </c>
      <c r="AB51" s="3">
        <f>(P_FACT[[#This Row],[اجمالى المدة الزمنية المعتمدة]]-P_FACT[[#This Row],[المدة المنقضبة]])/P_FACT[[#This Row],[اجمالى المدة الزمنية المعتمدة]]</f>
        <v>0.8876811594202898</v>
      </c>
    </row>
    <row r="52" spans="1:28" ht="22.5" customHeight="1" x14ac:dyDescent="0.3">
      <c r="A52" s="7" t="str" cm="1">
        <f t="array" ref="A52">_xlfn.XLOOKUP(P_FACT[[#This Row],[PROJECT ID]],Table3[PROJECT ID],Sheet1!$D$2:$D$142)</f>
        <v>شركة المقاولون العرب الكونغولية</v>
      </c>
      <c r="B52" s="5">
        <v>1055</v>
      </c>
      <c r="C52" s="5" t="s">
        <v>85</v>
      </c>
      <c r="D52" s="6">
        <v>46234</v>
      </c>
      <c r="E52" s="5" t="s">
        <v>86</v>
      </c>
      <c r="F52" s="10" t="s">
        <v>220</v>
      </c>
      <c r="G52" s="5">
        <v>81550469.767441869</v>
      </c>
      <c r="H52" s="5">
        <v>56878503.488372095</v>
      </c>
      <c r="I52" s="4">
        <f>P_FACT[[#This Row],[منفذ شامل مستخلص داخلى
(B)]]/P_FACT[[#This Row],[اجمالى القيمة التعاقدية
(A)]]</f>
        <v>0.69746383620564023</v>
      </c>
      <c r="J52" s="5">
        <v>53965140.697674416</v>
      </c>
      <c r="K52" s="4">
        <f>P_FACT[[#This Row],[منفذ معتمد
(C)]]/P_FACT[[#This Row],[اجمالى القيمة التعاقدية
(A)]]</f>
        <v>0.66173917638447999</v>
      </c>
      <c r="L52" s="5">
        <v>41074865.116279073</v>
      </c>
      <c r="M52" s="4">
        <f>IF(P_FACT[[#This Row],[منفذ معتمد
(C)]]&gt;0,P_FACT[[#This Row],[اعمال مسدده
(D)]]/P_FACT[[#This Row],[منفذ معتمد
(C)]],0)</f>
        <v>0.76113699668440149</v>
      </c>
      <c r="N52" s="5">
        <v>57432234.883720934</v>
      </c>
      <c r="O52" s="4">
        <f>IF(P_FACT[[#This Row],[منفذ معتمد
(C)]]&gt;0,P_FACT[[#This Row],[سيولة محصلة
(F)]]/P_FACT[[#This Row],[منفذ معتمد
(C)]],0)</f>
        <v>1.0642469220171222</v>
      </c>
      <c r="P52" s="5">
        <v>12890275.581395349</v>
      </c>
      <c r="Q52" s="4">
        <f>IF(P_FACT[[#This Row],[منفذ شامل مستخلص داخلى
(B)]]&gt;0,P_FACT[[#This Row],[الاعمال القابلة للصرف
(H)]]/P_FACT[[#This Row],[منفذ شامل مستخلص داخلى
(B)]],0)</f>
        <v>0.22662824777080431</v>
      </c>
      <c r="R52" s="5">
        <v>2913362.7906976743</v>
      </c>
      <c r="S52" s="4">
        <f>IF(P_FACT[[#This Row],[منفذ معتمد
(C)]]&gt;0,P_FACT[[#This Row],[غير قابلة للصرف
(G)]]/P_FACT[[#This Row],[منفذ معتمد
(C)]],0)</f>
        <v>5.3986013063859632E-2</v>
      </c>
      <c r="T52" s="5">
        <v>2374466.1627906975</v>
      </c>
      <c r="U52" s="4">
        <f>IF(P_FACT[[#This Row],[منفذ معتمد
(C)]]&gt;0,P_FACT[[#This Row],[الربحية
(I)]]/P_FACT[[#This Row],[منفذ معتمد
(C)]],0)</f>
        <v>4.3999999482870304E-2</v>
      </c>
      <c r="V52" s="5">
        <v>7719301.0116279069</v>
      </c>
      <c r="W52" s="4">
        <f>IF(P_FACT[[#This Row],[منفذ معتمد
(C)]]&gt;0,P_FACT[[#This Row],[الاجور
(J)]]/P_FACT[[#This Row],[منفذ معتمد
(C)]],0)</f>
        <v>0.14304235867508011</v>
      </c>
      <c r="X52" s="6">
        <v>44517</v>
      </c>
      <c r="Y52" s="6">
        <v>46568</v>
      </c>
      <c r="Z52" s="2">
        <f>P_FACT[[#This Row],[تاريخ نهو المشروع المعدل شامل مد مدة الزمنى]]-P_FACT[[#This Row],[تاريخ بدء المشروع التعاقدى]]</f>
        <v>2051</v>
      </c>
      <c r="AA52" s="2">
        <f>P_FACT[[#This Row],[تاريخ نهو المشروع المعدل شامل مد مدة الزمنى]]-P_FACT[[#This Row],[تاريخ تحديث البيان]]</f>
        <v>334</v>
      </c>
      <c r="AB52" s="3">
        <f>(P_FACT[[#This Row],[اجمالى المدة الزمنية المعتمدة]]-P_FACT[[#This Row],[المدة المنقضبة]])/P_FACT[[#This Row],[اجمالى المدة الزمنية المعتمدة]]</f>
        <v>0.83715260848366646</v>
      </c>
    </row>
    <row r="53" spans="1:28" ht="22.5" customHeight="1" x14ac:dyDescent="0.3">
      <c r="A53" s="8" t="str" cm="1">
        <f t="array" ref="A53">_xlfn.XLOOKUP(P_FACT[[#This Row],[PROJECT ID]],Table3[PROJECT ID],Sheet1!$D$2:$D$142)</f>
        <v>شركة المقاولون العرب الكونغولية</v>
      </c>
      <c r="B53" s="5">
        <v>1056</v>
      </c>
      <c r="C53" s="5" t="s">
        <v>85</v>
      </c>
      <c r="D53" s="6">
        <v>46234</v>
      </c>
      <c r="E53" s="5" t="s">
        <v>84</v>
      </c>
      <c r="F53" s="10" t="s">
        <v>221</v>
      </c>
      <c r="G53" s="5">
        <v>81550469.767441869</v>
      </c>
      <c r="H53" s="5">
        <v>60822562.790697679</v>
      </c>
      <c r="I53" s="4">
        <f>P_FACT[[#This Row],[منفذ شامل مستخلص داخلى
(B)]]/P_FACT[[#This Row],[اجمالى القيمة التعاقدية
(A)]]</f>
        <v>0.74582725230333891</v>
      </c>
      <c r="J53" s="5">
        <v>59004565.116279073</v>
      </c>
      <c r="K53" s="4">
        <f>P_FACT[[#This Row],[منفذ معتمد
(C)]]/P_FACT[[#This Row],[اجمالى القيمة التعاقدية
(A)]]</f>
        <v>0.72353433750342411</v>
      </c>
      <c r="L53" s="5">
        <v>50925616.453488372</v>
      </c>
      <c r="M53" s="4">
        <f>IF(P_FACT[[#This Row],[منفذ معتمد
(C)]]&gt;0,P_FACT[[#This Row],[اعمال مسدده
(D)]]/P_FACT[[#This Row],[منفذ معتمد
(C)]],0)</f>
        <v>0.86307926095430609</v>
      </c>
      <c r="N53" s="5">
        <v>64272258.139534883</v>
      </c>
      <c r="O53" s="4">
        <f>IF(P_FACT[[#This Row],[منفذ معتمد
(C)]]&gt;0,P_FACT[[#This Row],[سيولة محصلة
(F)]]/P_FACT[[#This Row],[منفذ معتمد
(C)]],0)</f>
        <v>1.0892760248783273</v>
      </c>
      <c r="P53" s="5">
        <v>8078948.6627906971</v>
      </c>
      <c r="Q53" s="4">
        <f>IF(P_FACT[[#This Row],[منفذ شامل مستخلص داخلى
(B)]]&gt;0,P_FACT[[#This Row],[الاعمال القابلة للصرف
(H)]]/P_FACT[[#This Row],[منفذ شامل مستخلص داخلى
(B)]],0)</f>
        <v>0.13282815277928911</v>
      </c>
      <c r="R53" s="5">
        <v>1817997.6744186047</v>
      </c>
      <c r="S53" s="4">
        <f>IF(P_FACT[[#This Row],[منفذ معتمد
(C)]]&gt;0,P_FACT[[#This Row],[غير قابلة للصرف
(G)]]/P_FACT[[#This Row],[منفذ معتمد
(C)]],0)</f>
        <v>3.0811135898314215E-2</v>
      </c>
      <c r="T53" s="5">
        <v>2625703.1395348841</v>
      </c>
      <c r="U53" s="4">
        <f>IF(P_FACT[[#This Row],[منفذ معتمد
(C)]]&gt;0,P_FACT[[#This Row],[الربحية
(I)]]/P_FACT[[#This Row],[منفذ معتمد
(C)]],0)</f>
        <v>4.4499999862052463E-2</v>
      </c>
      <c r="V53" s="5">
        <v>8491231.1046511624</v>
      </c>
      <c r="W53" s="4">
        <f>IF(P_FACT[[#This Row],[منفذ معتمد
(C)]]&gt;0,P_FACT[[#This Row],[الاجور
(J)]]/P_FACT[[#This Row],[منفذ معتمد
(C)]],0)</f>
        <v>0.14390803640222868</v>
      </c>
      <c r="X53" s="6">
        <v>44517</v>
      </c>
      <c r="Y53" s="6">
        <v>46372</v>
      </c>
      <c r="Z53" s="2">
        <f>P_FACT[[#This Row],[تاريخ نهو المشروع المعدل شامل مد مدة الزمنى]]-P_FACT[[#This Row],[تاريخ بدء المشروع التعاقدى]]</f>
        <v>1855</v>
      </c>
      <c r="AA53" s="2">
        <f>P_FACT[[#This Row],[تاريخ نهو المشروع المعدل شامل مد مدة الزمنى]]-P_FACT[[#This Row],[تاريخ تحديث البيان]]</f>
        <v>138</v>
      </c>
      <c r="AB53" s="3">
        <f>(P_FACT[[#This Row],[اجمالى المدة الزمنية المعتمدة]]-P_FACT[[#This Row],[المدة المنقضبة]])/P_FACT[[#This Row],[اجمالى المدة الزمنية المعتمدة]]</f>
        <v>0.92560646900269539</v>
      </c>
    </row>
    <row r="54" spans="1:28" ht="22.5" customHeight="1" x14ac:dyDescent="0.3">
      <c r="A54" s="7" t="str" cm="1">
        <f t="array" ref="A54">_xlfn.XLOOKUP(P_FACT[[#This Row],[PROJECT ID]],Table3[PROJECT ID],Sheet1!$D$2:$D$142)</f>
        <v>فرع العراق</v>
      </c>
      <c r="B54" s="5">
        <v>1030</v>
      </c>
      <c r="C54" s="5" t="s">
        <v>104</v>
      </c>
      <c r="D54" s="6">
        <v>46234</v>
      </c>
      <c r="E54" s="5" t="s">
        <v>103</v>
      </c>
      <c r="F54" s="10" t="s">
        <v>222</v>
      </c>
      <c r="G54" s="5">
        <v>12386698.470992366</v>
      </c>
      <c r="H54" s="5">
        <v>12386698.470992366</v>
      </c>
      <c r="I54" s="4">
        <f>P_FACT[[#This Row],[منفذ شامل مستخلص داخلى
(B)]]/P_FACT[[#This Row],[اجمالى القيمة التعاقدية
(A)]]</f>
        <v>1</v>
      </c>
      <c r="J54" s="5">
        <v>12386698.470992366</v>
      </c>
      <c r="K54" s="4">
        <f>P_FACT[[#This Row],[منفذ معتمد
(C)]]/P_FACT[[#This Row],[اجمالى القيمة التعاقدية
(A)]]</f>
        <v>1</v>
      </c>
      <c r="L54" s="5">
        <v>9912274.867938932</v>
      </c>
      <c r="M54" s="4">
        <f>IF(P_FACT[[#This Row],[منفذ معتمد
(C)]]&gt;0,P_FACT[[#This Row],[اعمال مسدده
(D)]]/P_FACT[[#This Row],[منفذ معتمد
(C)]],0)</f>
        <v>0.80023542117795698</v>
      </c>
      <c r="N54" s="5">
        <v>9912274.867938932</v>
      </c>
      <c r="O54" s="4">
        <f>IF(P_FACT[[#This Row],[منفذ معتمد
(C)]]&gt;0,P_FACT[[#This Row],[سيولة محصلة
(F)]]/P_FACT[[#This Row],[منفذ معتمد
(C)]],0)</f>
        <v>0.80023542117795698</v>
      </c>
      <c r="P54" s="5">
        <v>2474423.6030534352</v>
      </c>
      <c r="Q54" s="4">
        <f>IF(P_FACT[[#This Row],[منفذ شامل مستخلص داخلى
(B)]]&gt;0,P_FACT[[#This Row],[الاعمال القابلة للصرف
(H)]]/P_FACT[[#This Row],[منفذ شامل مستخلص داخلى
(B)]],0)</f>
        <v>0.1997645788220431</v>
      </c>
      <c r="R54" s="5">
        <v>0</v>
      </c>
      <c r="S54" s="4">
        <f>IF(P_FACT[[#This Row],[منفذ معتمد
(C)]]&gt;0,P_FACT[[#This Row],[غير قابلة للصرف
(G)]]/P_FACT[[#This Row],[منفذ معتمد
(C)]],0)</f>
        <v>0</v>
      </c>
      <c r="T54" s="5">
        <v>643041.90687022905</v>
      </c>
      <c r="U54" s="4">
        <f>IF(P_FACT[[#This Row],[منفذ معتمد
(C)]]&gt;0,P_FACT[[#This Row],[الربحية
(I)]]/P_FACT[[#This Row],[منفذ معتمد
(C)]],0)</f>
        <v>5.1913906548716644E-2</v>
      </c>
      <c r="V54" s="5">
        <v>664835.35114503815</v>
      </c>
      <c r="W54" s="4">
        <f>IF(P_FACT[[#This Row],[منفذ معتمد
(C)]]&gt;0,P_FACT[[#This Row],[الاجور
(J)]]/P_FACT[[#This Row],[منفذ معتمد
(C)]],0)</f>
        <v>5.36733297175171E-2</v>
      </c>
      <c r="X54" s="6">
        <v>43415</v>
      </c>
      <c r="Y54" s="6">
        <v>45085</v>
      </c>
      <c r="Z54" s="2">
        <f>P_FACT[[#This Row],[تاريخ نهو المشروع المعدل شامل مد مدة الزمنى]]-P_FACT[[#This Row],[تاريخ بدء المشروع التعاقدى]]</f>
        <v>1670</v>
      </c>
      <c r="AA54" s="2">
        <f>P_FACT[[#This Row],[تاريخ نهو المشروع المعدل شامل مد مدة الزمنى]]-P_FACT[[#This Row],[تاريخ تحديث البيان]]</f>
        <v>-1149</v>
      </c>
      <c r="AB54" s="3">
        <f>(P_FACT[[#This Row],[اجمالى المدة الزمنية المعتمدة]]-P_FACT[[#This Row],[المدة المنقضبة]])/P_FACT[[#This Row],[اجمالى المدة الزمنية المعتمدة]]</f>
        <v>1.6880239520958085</v>
      </c>
    </row>
    <row r="55" spans="1:28" ht="22.5" customHeight="1" x14ac:dyDescent="0.3">
      <c r="A55" s="8" t="str" cm="1">
        <f t="array" ref="A55">_xlfn.XLOOKUP(P_FACT[[#This Row],[PROJECT ID]],Table3[PROJECT ID],Sheet1!$D$2:$D$142)</f>
        <v>فرع العراق</v>
      </c>
      <c r="B55" s="5">
        <v>1031</v>
      </c>
      <c r="C55" s="5" t="s">
        <v>104</v>
      </c>
      <c r="D55" s="6">
        <v>46234</v>
      </c>
      <c r="E55" s="5" t="s">
        <v>148</v>
      </c>
      <c r="F55" s="10" t="s">
        <v>149</v>
      </c>
      <c r="G55" s="5">
        <v>84870343</v>
      </c>
      <c r="H55" s="5">
        <v>84862064</v>
      </c>
      <c r="I55" s="4">
        <f>P_FACT[[#This Row],[منفذ شامل مستخلص داخلى
(B)]]/P_FACT[[#This Row],[اجمالى القيمة التعاقدية
(A)]]</f>
        <v>0.99990245120135779</v>
      </c>
      <c r="J55" s="5">
        <v>84081758</v>
      </c>
      <c r="K55" s="4">
        <f>P_FACT[[#This Row],[منفذ معتمد
(C)]]/P_FACT[[#This Row],[اجمالى القيمة التعاقدية
(A)]]</f>
        <v>0.99070835615687336</v>
      </c>
      <c r="L55" s="5">
        <v>84081758</v>
      </c>
      <c r="M55" s="4">
        <f>IF(P_FACT[[#This Row],[منفذ معتمد
(C)]]&gt;0,P_FACT[[#This Row],[اعمال مسدده
(D)]]/P_FACT[[#This Row],[منفذ معتمد
(C)]],0)</f>
        <v>1</v>
      </c>
      <c r="N55" s="5">
        <v>84081758</v>
      </c>
      <c r="O55" s="4">
        <f>IF(P_FACT[[#This Row],[منفذ معتمد
(C)]]&gt;0,P_FACT[[#This Row],[سيولة محصلة
(F)]]/P_FACT[[#This Row],[منفذ معتمد
(C)]],0)</f>
        <v>1</v>
      </c>
      <c r="P55" s="5">
        <v>0</v>
      </c>
      <c r="Q55" s="4">
        <f>IF(P_FACT[[#This Row],[منفذ شامل مستخلص داخلى
(B)]]&gt;0,P_FACT[[#This Row],[الاعمال القابلة للصرف
(H)]]/P_FACT[[#This Row],[منفذ شامل مستخلص داخلى
(B)]],0)</f>
        <v>0</v>
      </c>
      <c r="R55" s="5">
        <v>780306</v>
      </c>
      <c r="S55" s="4">
        <f>IF(P_FACT[[#This Row],[منفذ معتمد
(C)]]&gt;0,P_FACT[[#This Row],[غير قابلة للصرف
(G)]]/P_FACT[[#This Row],[منفذ معتمد
(C)]],0)</f>
        <v>9.2803245146230173E-3</v>
      </c>
      <c r="T55" s="5">
        <v>-13264483.300000001</v>
      </c>
      <c r="U55" s="4">
        <f>IF(P_FACT[[#This Row],[منفذ معتمد
(C)]]&gt;0,P_FACT[[#This Row],[الربحية
(I)]]/P_FACT[[#This Row],[منفذ معتمد
(C)]],0)</f>
        <v>-0.15775696911570283</v>
      </c>
      <c r="V55" s="5">
        <v>15280988.65</v>
      </c>
      <c r="W55" s="4">
        <f>IF(P_FACT[[#This Row],[منفذ معتمد
(C)]]&gt;0,P_FACT[[#This Row],[الاجور
(J)]]/P_FACT[[#This Row],[منفذ معتمد
(C)]],0)</f>
        <v>0.18173964262260073</v>
      </c>
      <c r="X55" s="6">
        <v>41666</v>
      </c>
      <c r="Y55" s="6">
        <v>44741</v>
      </c>
      <c r="Z55" s="2">
        <f>P_FACT[[#This Row],[تاريخ نهو المشروع المعدل شامل مد مدة الزمنى]]-P_FACT[[#This Row],[تاريخ بدء المشروع التعاقدى]]</f>
        <v>3075</v>
      </c>
      <c r="AA55" s="2">
        <f>P_FACT[[#This Row],[تاريخ نهو المشروع المعدل شامل مد مدة الزمنى]]-P_FACT[[#This Row],[تاريخ تحديث البيان]]</f>
        <v>-1493</v>
      </c>
      <c r="AB55" s="3">
        <f>(P_FACT[[#This Row],[اجمالى المدة الزمنية المعتمدة]]-P_FACT[[#This Row],[المدة المنقضبة]])/P_FACT[[#This Row],[اجمالى المدة الزمنية المعتمدة]]</f>
        <v>1.4855284552845529</v>
      </c>
    </row>
    <row r="56" spans="1:28" ht="22.5" customHeight="1" x14ac:dyDescent="0.3">
      <c r="A56" s="7" t="str" cm="1">
        <f t="array" ref="A56">_xlfn.XLOOKUP(P_FACT[[#This Row],[PROJECT ID]],Table3[PROJECT ID],Sheet1!$D$2:$D$142)</f>
        <v>شركة المقاولون العرب القطرية</v>
      </c>
      <c r="B56" s="5">
        <v>1035</v>
      </c>
      <c r="C56" s="5" t="s">
        <v>35</v>
      </c>
      <c r="D56" s="6">
        <v>46234</v>
      </c>
      <c r="E56" s="5" t="s">
        <v>37</v>
      </c>
      <c r="F56" s="10" t="s">
        <v>223</v>
      </c>
      <c r="G56" s="5">
        <v>28117434.340659339</v>
      </c>
      <c r="H56" s="5">
        <v>28012803.296703294</v>
      </c>
      <c r="I56" s="4">
        <f>P_FACT[[#This Row],[منفذ شامل مستخلص داخلى
(B)]]/P_FACT[[#This Row],[اجمالى القيمة التعاقدية
(A)]]</f>
        <v>0.9962787840921622</v>
      </c>
      <c r="J56" s="5">
        <v>28012803.296703294</v>
      </c>
      <c r="K56" s="4">
        <f>P_FACT[[#This Row],[منفذ معتمد
(C)]]/P_FACT[[#This Row],[اجمالى القيمة التعاقدية
(A)]]</f>
        <v>0.9962787840921622</v>
      </c>
      <c r="L56" s="5">
        <v>24180022.527472526</v>
      </c>
      <c r="M56" s="4">
        <f>IF(P_FACT[[#This Row],[منفذ معتمد
(C)]]&gt;0,P_FACT[[#This Row],[اعمال مسدده
(D)]]/P_FACT[[#This Row],[منفذ معتمد
(C)]],0)</f>
        <v>0.86317753604895975</v>
      </c>
      <c r="N56" s="5">
        <v>26269790.384615384</v>
      </c>
      <c r="O56" s="4">
        <f>IF(P_FACT[[#This Row],[منفذ معتمد
(C)]]&gt;0,P_FACT[[#This Row],[سيولة محصلة
(F)]]/P_FACT[[#This Row],[منفذ معتمد
(C)]],0)</f>
        <v>0.93777799052717303</v>
      </c>
      <c r="P56" s="5">
        <v>3832780.769230769</v>
      </c>
      <c r="Q56" s="4">
        <f>IF(P_FACT[[#This Row],[منفذ شامل مستخلص داخلى
(B)]]&gt;0,P_FACT[[#This Row],[الاعمال القابلة للصرف
(H)]]/P_FACT[[#This Row],[منفذ شامل مستخلص داخلى
(B)]],0)</f>
        <v>0.13682246395104028</v>
      </c>
      <c r="R56" s="5">
        <v>0</v>
      </c>
      <c r="S56" s="4">
        <f>IF(P_FACT[[#This Row],[منفذ معتمد
(C)]]&gt;0,P_FACT[[#This Row],[غير قابلة للصرف
(G)]]/P_FACT[[#This Row],[منفذ معتمد
(C)]],0)</f>
        <v>0</v>
      </c>
      <c r="T56" s="5">
        <v>1681766.4835164836</v>
      </c>
      <c r="U56" s="4">
        <f>IF(P_FACT[[#This Row],[منفذ معتمد
(C)]]&gt;0,P_FACT[[#This Row],[الربحية
(I)]]/P_FACT[[#This Row],[منفذ معتمد
(C)]],0)</f>
        <v>6.0035636765935645E-2</v>
      </c>
      <c r="V56" s="5">
        <v>1992517.3186813185</v>
      </c>
      <c r="W56" s="4">
        <f>IF(P_FACT[[#This Row],[منفذ معتمد
(C)]]&gt;0,P_FACT[[#This Row],[الاجور
(J)]]/P_FACT[[#This Row],[منفذ معتمد
(C)]],0)</f>
        <v>7.112880840868252E-2</v>
      </c>
      <c r="X56" s="6">
        <v>44820</v>
      </c>
      <c r="Y56" s="6">
        <v>45657</v>
      </c>
      <c r="Z56" s="2">
        <f>P_FACT[[#This Row],[تاريخ نهو المشروع المعدل شامل مد مدة الزمنى]]-P_FACT[[#This Row],[تاريخ بدء المشروع التعاقدى]]</f>
        <v>837</v>
      </c>
      <c r="AA56" s="2">
        <f>P_FACT[[#This Row],[تاريخ نهو المشروع المعدل شامل مد مدة الزمنى]]-P_FACT[[#This Row],[تاريخ تحديث البيان]]</f>
        <v>-577</v>
      </c>
      <c r="AB56" s="3">
        <f>(P_FACT[[#This Row],[اجمالى المدة الزمنية المعتمدة]]-P_FACT[[#This Row],[المدة المنقضبة]])/P_FACT[[#This Row],[اجمالى المدة الزمنية المعتمدة]]</f>
        <v>1.6893667861409798</v>
      </c>
    </row>
    <row r="57" spans="1:28" ht="22.5" customHeight="1" x14ac:dyDescent="0.3">
      <c r="A57" s="8" t="str" cm="1">
        <f t="array" ref="A57">_xlfn.XLOOKUP(P_FACT[[#This Row],[PROJECT ID]],Table3[PROJECT ID],Sheet1!$D$2:$D$142)</f>
        <v>شركة المقاولون العرب القطرية</v>
      </c>
      <c r="B57" s="5">
        <v>1109</v>
      </c>
      <c r="C57" s="5" t="s">
        <v>35</v>
      </c>
      <c r="D57" s="6">
        <v>46234</v>
      </c>
      <c r="E57" s="5" t="s">
        <v>163</v>
      </c>
      <c r="F57" s="10" t="s">
        <v>224</v>
      </c>
      <c r="G57" s="5">
        <v>48351648.351648353</v>
      </c>
      <c r="H57" s="5">
        <v>14285282.142857142</v>
      </c>
      <c r="I57" s="4">
        <f>P_FACT[[#This Row],[منفذ شامل مستخلص داخلى
(B)]]/P_FACT[[#This Row],[اجمالى القيمة التعاقدية
(A)]]</f>
        <v>0.29544560795454544</v>
      </c>
      <c r="J57" s="5">
        <v>14285282.142857142</v>
      </c>
      <c r="K57" s="4">
        <f>P_FACT[[#This Row],[منفذ معتمد
(C)]]/P_FACT[[#This Row],[اجمالى القيمة التعاقدية
(A)]]</f>
        <v>0.29544560795454544</v>
      </c>
      <c r="L57" s="5">
        <v>13261622.252747253</v>
      </c>
      <c r="M57" s="4">
        <f>IF(P_FACT[[#This Row],[منفذ معتمد
(C)]]&gt;0,P_FACT[[#This Row],[اعمال مسدده
(D)]]/P_FACT[[#This Row],[منفذ معتمد
(C)]],0)</f>
        <v>0.92834164002691855</v>
      </c>
      <c r="N57" s="5">
        <v>16107543.681318682</v>
      </c>
      <c r="O57" s="4">
        <f>IF(P_FACT[[#This Row],[منفذ معتمد
(C)]]&gt;0,P_FACT[[#This Row],[سيولة محصلة
(F)]]/P_FACT[[#This Row],[منفذ معتمد
(C)]],0)</f>
        <v>1.1275621664478428</v>
      </c>
      <c r="P57" s="5">
        <v>1023659.89010989</v>
      </c>
      <c r="Q57" s="4">
        <f>IF(P_FACT[[#This Row],[منفذ شامل مستخلص داخلى
(B)]]&gt;0,P_FACT[[#This Row],[الاعمال القابلة للصرف
(H)]]/P_FACT[[#This Row],[منفذ شامل مستخلص داخلى
(B)]],0)</f>
        <v>7.1658359973081495E-2</v>
      </c>
      <c r="R57" s="5">
        <v>0</v>
      </c>
      <c r="S57" s="4">
        <f>IF(P_FACT[[#This Row],[منفذ معتمد
(C)]]&gt;0,P_FACT[[#This Row],[غير قابلة للصرف
(G)]]/P_FACT[[#This Row],[منفذ معتمد
(C)]],0)</f>
        <v>0</v>
      </c>
      <c r="T57" s="5">
        <v>21750553.571428571</v>
      </c>
      <c r="U57" s="4">
        <f>IF(P_FACT[[#This Row],[منفذ معتمد
(C)]]&gt;0,P_FACT[[#This Row],[الربحية
(I)]]/P_FACT[[#This Row],[منفذ معتمد
(C)]],0)</f>
        <v>1.5225848081904478</v>
      </c>
      <c r="V57" s="5">
        <v>864849.72527472524</v>
      </c>
      <c r="W57" s="4">
        <f>IF(P_FACT[[#This Row],[منفذ معتمد
(C)]]&gt;0,P_FACT[[#This Row],[الاجور
(J)]]/P_FACT[[#This Row],[منفذ معتمد
(C)]],0)</f>
        <v>6.0541312143923123E-2</v>
      </c>
      <c r="X57" s="6">
        <v>45852</v>
      </c>
      <c r="Y57" s="6">
        <v>46581</v>
      </c>
      <c r="Z57" s="2">
        <f>P_FACT[[#This Row],[تاريخ نهو المشروع المعدل شامل مد مدة الزمنى]]-P_FACT[[#This Row],[تاريخ بدء المشروع التعاقدى]]</f>
        <v>729</v>
      </c>
      <c r="AA57" s="2">
        <f>P_FACT[[#This Row],[تاريخ نهو المشروع المعدل شامل مد مدة الزمنى]]-P_FACT[[#This Row],[تاريخ تحديث البيان]]</f>
        <v>347</v>
      </c>
      <c r="AB57" s="3">
        <f>(P_FACT[[#This Row],[اجمالى المدة الزمنية المعتمدة]]-P_FACT[[#This Row],[المدة المنقضبة]])/P_FACT[[#This Row],[اجمالى المدة الزمنية المعتمدة]]</f>
        <v>0.52400548696844995</v>
      </c>
    </row>
    <row r="58" spans="1:28" ht="22.5" customHeight="1" x14ac:dyDescent="0.3">
      <c r="A58" s="7" t="str" cm="1">
        <f t="array" ref="A58">_xlfn.XLOOKUP(P_FACT[[#This Row],[PROJECT ID]],Table3[PROJECT ID],Sheet1!$D$2:$D$142)</f>
        <v>شركة المقاولون العرب التنزانية</v>
      </c>
      <c r="B58" s="5">
        <v>1042</v>
      </c>
      <c r="C58" s="5" t="s">
        <v>90</v>
      </c>
      <c r="D58" s="6">
        <v>46234</v>
      </c>
      <c r="E58" s="5" t="s">
        <v>89</v>
      </c>
      <c r="F58" s="10" t="s">
        <v>225</v>
      </c>
      <c r="G58" s="5">
        <v>2142091</v>
      </c>
      <c r="H58" s="5">
        <v>2142091</v>
      </c>
      <c r="I58" s="4">
        <f>P_FACT[[#This Row],[منفذ شامل مستخلص داخلى
(B)]]/P_FACT[[#This Row],[اجمالى القيمة التعاقدية
(A)]]</f>
        <v>1</v>
      </c>
      <c r="J58" s="5">
        <v>2142091</v>
      </c>
      <c r="K58" s="4">
        <f>P_FACT[[#This Row],[منفذ معتمد
(C)]]/P_FACT[[#This Row],[اجمالى القيمة التعاقدية
(A)]]</f>
        <v>1</v>
      </c>
      <c r="L58" s="5">
        <v>2142091</v>
      </c>
      <c r="M58" s="4">
        <f>IF(P_FACT[[#This Row],[منفذ معتمد
(C)]]&gt;0,P_FACT[[#This Row],[اعمال مسدده
(D)]]/P_FACT[[#This Row],[منفذ معتمد
(C)]],0)</f>
        <v>1</v>
      </c>
      <c r="N58" s="5">
        <v>2142091</v>
      </c>
      <c r="O58" s="4">
        <f>IF(P_FACT[[#This Row],[منفذ معتمد
(C)]]&gt;0,P_FACT[[#This Row],[سيولة محصلة
(F)]]/P_FACT[[#This Row],[منفذ معتمد
(C)]],0)</f>
        <v>1</v>
      </c>
      <c r="P58" s="5">
        <v>0</v>
      </c>
      <c r="Q58" s="4">
        <f>IF(P_FACT[[#This Row],[منفذ شامل مستخلص داخلى
(B)]]&gt;0,P_FACT[[#This Row],[الاعمال القابلة للصرف
(H)]]/P_FACT[[#This Row],[منفذ شامل مستخلص داخلى
(B)]],0)</f>
        <v>0</v>
      </c>
      <c r="R58" s="5">
        <v>0</v>
      </c>
      <c r="S58" s="4">
        <f>IF(P_FACT[[#This Row],[منفذ معتمد
(C)]]&gt;0,P_FACT[[#This Row],[غير قابلة للصرف
(G)]]/P_FACT[[#This Row],[منفذ معتمد
(C)]],0)</f>
        <v>0</v>
      </c>
      <c r="T58" s="5">
        <v>604698.72</v>
      </c>
      <c r="U58" s="4">
        <f>IF(P_FACT[[#This Row],[منفذ معتمد
(C)]]&gt;0,P_FACT[[#This Row],[الربحية
(I)]]/P_FACT[[#This Row],[منفذ معتمد
(C)]],0)</f>
        <v>0.28229366539516759</v>
      </c>
      <c r="V58" s="5">
        <v>307164.61</v>
      </c>
      <c r="W58" s="4">
        <f>IF(P_FACT[[#This Row],[منفذ معتمد
(C)]]&gt;0,P_FACT[[#This Row],[الاجور
(J)]]/P_FACT[[#This Row],[منفذ معتمد
(C)]],0)</f>
        <v>0.14339475307071453</v>
      </c>
      <c r="X58" s="6">
        <v>45449</v>
      </c>
      <c r="Y58" s="6">
        <v>45654</v>
      </c>
      <c r="Z58" s="2">
        <f>P_FACT[[#This Row],[تاريخ نهو المشروع المعدل شامل مد مدة الزمنى]]-P_FACT[[#This Row],[تاريخ بدء المشروع التعاقدى]]</f>
        <v>205</v>
      </c>
      <c r="AA58" s="2">
        <f>P_FACT[[#This Row],[تاريخ نهو المشروع المعدل شامل مد مدة الزمنى]]-P_FACT[[#This Row],[تاريخ تحديث البيان]]</f>
        <v>-580</v>
      </c>
      <c r="AB58" s="3">
        <f>(P_FACT[[#This Row],[اجمالى المدة الزمنية المعتمدة]]-P_FACT[[#This Row],[المدة المنقضبة]])/P_FACT[[#This Row],[اجمالى المدة الزمنية المعتمدة]]</f>
        <v>3.8292682926829267</v>
      </c>
    </row>
    <row r="59" spans="1:28" ht="22.5" customHeight="1" x14ac:dyDescent="0.3">
      <c r="A59" s="8" t="str" cm="1">
        <f t="array" ref="A59">_xlfn.XLOOKUP(P_FACT[[#This Row],[PROJECT ID]],Table3[PROJECT ID],Sheet1!$D$2:$D$142)</f>
        <v>شركة المقاولون العرب التشادية</v>
      </c>
      <c r="B59" s="5">
        <v>1038</v>
      </c>
      <c r="C59" s="5" t="s">
        <v>27</v>
      </c>
      <c r="D59" s="6">
        <v>46234</v>
      </c>
      <c r="E59" s="5" t="s">
        <v>139</v>
      </c>
      <c r="F59" s="10" t="s">
        <v>173</v>
      </c>
      <c r="G59" s="5">
        <v>4507465.9966942146</v>
      </c>
      <c r="H59" s="5">
        <v>4507465.9966942146</v>
      </c>
      <c r="I59" s="4">
        <f>P_FACT[[#This Row],[منفذ شامل مستخلص داخلى
(B)]]/P_FACT[[#This Row],[اجمالى القيمة التعاقدية
(A)]]</f>
        <v>1</v>
      </c>
      <c r="J59" s="5">
        <v>4507465.9966942146</v>
      </c>
      <c r="K59" s="4">
        <f>P_FACT[[#This Row],[منفذ معتمد
(C)]]/P_FACT[[#This Row],[اجمالى القيمة التعاقدية
(A)]]</f>
        <v>1</v>
      </c>
      <c r="L59" s="5">
        <v>4507465.9966942146</v>
      </c>
      <c r="M59" s="4">
        <f>IF(P_FACT[[#This Row],[منفذ معتمد
(C)]]&gt;0,P_FACT[[#This Row],[اعمال مسدده
(D)]]/P_FACT[[#This Row],[منفذ معتمد
(C)]],0)</f>
        <v>1</v>
      </c>
      <c r="N59" s="5">
        <v>4507465.9966942146</v>
      </c>
      <c r="O59" s="4">
        <f>IF(P_FACT[[#This Row],[منفذ معتمد
(C)]]&gt;0,P_FACT[[#This Row],[سيولة محصلة
(F)]]/P_FACT[[#This Row],[منفذ معتمد
(C)]],0)</f>
        <v>1</v>
      </c>
      <c r="P59" s="5">
        <v>0</v>
      </c>
      <c r="Q59" s="4">
        <f>IF(P_FACT[[#This Row],[منفذ شامل مستخلص داخلى
(B)]]&gt;0,P_FACT[[#This Row],[الاعمال القابلة للصرف
(H)]]/P_FACT[[#This Row],[منفذ شامل مستخلص داخلى
(B)]],0)</f>
        <v>0</v>
      </c>
      <c r="R59" s="5">
        <v>0</v>
      </c>
      <c r="S59" s="4">
        <f>IF(P_FACT[[#This Row],[منفذ معتمد
(C)]]&gt;0,P_FACT[[#This Row],[غير قابلة للصرف
(G)]]/P_FACT[[#This Row],[منفذ معتمد
(C)]],0)</f>
        <v>0</v>
      </c>
      <c r="T59" s="5">
        <v>0</v>
      </c>
      <c r="U59" s="4">
        <f>IF(P_FACT[[#This Row],[منفذ معتمد
(C)]]&gt;0,P_FACT[[#This Row],[الربحية
(I)]]/P_FACT[[#This Row],[منفذ معتمد
(C)]],0)</f>
        <v>0</v>
      </c>
      <c r="V59" s="5">
        <v>0</v>
      </c>
      <c r="W59" s="4">
        <f>IF(P_FACT[[#This Row],[منفذ معتمد
(C)]]&gt;0,P_FACT[[#This Row],[الاجور
(J)]]/P_FACT[[#This Row],[منفذ معتمد
(C)]],0)</f>
        <v>0</v>
      </c>
      <c r="X59" s="6">
        <v>45530</v>
      </c>
      <c r="Y59" s="6">
        <v>45877</v>
      </c>
      <c r="Z59" s="2">
        <f>P_FACT[[#This Row],[تاريخ نهو المشروع المعدل شامل مد مدة الزمنى]]-P_FACT[[#This Row],[تاريخ بدء المشروع التعاقدى]]</f>
        <v>347</v>
      </c>
      <c r="AA59" s="2">
        <f>P_FACT[[#This Row],[تاريخ نهو المشروع المعدل شامل مد مدة الزمنى]]-P_FACT[[#This Row],[تاريخ تحديث البيان]]</f>
        <v>-357</v>
      </c>
      <c r="AB59" s="3">
        <f>(P_FACT[[#This Row],[اجمالى المدة الزمنية المعتمدة]]-P_FACT[[#This Row],[المدة المنقضبة]])/P_FACT[[#This Row],[اجمالى المدة الزمنية المعتمدة]]</f>
        <v>2.0288184438040346</v>
      </c>
    </row>
    <row r="60" spans="1:28" ht="22.5" customHeight="1" x14ac:dyDescent="0.3">
      <c r="A60" s="7" t="str" cm="1">
        <f t="array" ref="A60">_xlfn.XLOOKUP(P_FACT[[#This Row],[PROJECT ID]],Table3[PROJECT ID],Sheet1!$D$2:$D$142)</f>
        <v>شركة المقاولون العرب التشادية</v>
      </c>
      <c r="B60" s="5">
        <v>1098</v>
      </c>
      <c r="C60" s="5" t="s">
        <v>27</v>
      </c>
      <c r="D60" s="6">
        <v>46234</v>
      </c>
      <c r="E60" s="5" t="s">
        <v>138</v>
      </c>
      <c r="F60" s="10" t="s">
        <v>172</v>
      </c>
      <c r="G60" s="5">
        <v>1484945.4066115702</v>
      </c>
      <c r="H60" s="5">
        <v>1484945.4066115702</v>
      </c>
      <c r="I60" s="4">
        <f>P_FACT[[#This Row],[منفذ شامل مستخلص داخلى
(B)]]/P_FACT[[#This Row],[اجمالى القيمة التعاقدية
(A)]]</f>
        <v>1</v>
      </c>
      <c r="J60" s="5">
        <v>1484945.4066115702</v>
      </c>
      <c r="K60" s="4">
        <f>P_FACT[[#This Row],[منفذ معتمد
(C)]]/P_FACT[[#This Row],[اجمالى القيمة التعاقدية
(A)]]</f>
        <v>1</v>
      </c>
      <c r="L60" s="5">
        <v>1484945.4066115702</v>
      </c>
      <c r="M60" s="4">
        <f>IF(P_FACT[[#This Row],[منفذ معتمد
(C)]]&gt;0,P_FACT[[#This Row],[اعمال مسدده
(D)]]/P_FACT[[#This Row],[منفذ معتمد
(C)]],0)</f>
        <v>1</v>
      </c>
      <c r="N60" s="5">
        <v>1484945.4066115702</v>
      </c>
      <c r="O60" s="4">
        <f>IF(P_FACT[[#This Row],[منفذ معتمد
(C)]]&gt;0,P_FACT[[#This Row],[سيولة محصلة
(F)]]/P_FACT[[#This Row],[منفذ معتمد
(C)]],0)</f>
        <v>1</v>
      </c>
      <c r="P60" s="5">
        <v>0</v>
      </c>
      <c r="Q60" s="4">
        <f>IF(P_FACT[[#This Row],[منفذ شامل مستخلص داخلى
(B)]]&gt;0,P_FACT[[#This Row],[الاعمال القابلة للصرف
(H)]]/P_FACT[[#This Row],[منفذ شامل مستخلص داخلى
(B)]],0)</f>
        <v>0</v>
      </c>
      <c r="R60" s="5">
        <v>0</v>
      </c>
      <c r="S60" s="4">
        <f>IF(P_FACT[[#This Row],[منفذ معتمد
(C)]]&gt;0,P_FACT[[#This Row],[غير قابلة للصرف
(G)]]/P_FACT[[#This Row],[منفذ معتمد
(C)]],0)</f>
        <v>0</v>
      </c>
      <c r="T60" s="5">
        <v>0</v>
      </c>
      <c r="U60" s="4">
        <f>IF(P_FACT[[#This Row],[منفذ معتمد
(C)]]&gt;0,P_FACT[[#This Row],[الربحية
(I)]]/P_FACT[[#This Row],[منفذ معتمد
(C)]],0)</f>
        <v>0</v>
      </c>
      <c r="V60" s="5">
        <v>0</v>
      </c>
      <c r="W60" s="4">
        <f>IF(P_FACT[[#This Row],[منفذ معتمد
(C)]]&gt;0,P_FACT[[#This Row],[الاجور
(J)]]/P_FACT[[#This Row],[منفذ معتمد
(C)]],0)</f>
        <v>0</v>
      </c>
      <c r="X60" s="6">
        <v>45408</v>
      </c>
      <c r="Y60" s="6">
        <v>46188</v>
      </c>
      <c r="Z60" s="2">
        <f>P_FACT[[#This Row],[تاريخ نهو المشروع المعدل شامل مد مدة الزمنى]]-P_FACT[[#This Row],[تاريخ بدء المشروع التعاقدى]]</f>
        <v>780</v>
      </c>
      <c r="AA60" s="2">
        <f>P_FACT[[#This Row],[تاريخ نهو المشروع المعدل شامل مد مدة الزمنى]]-P_FACT[[#This Row],[تاريخ تحديث البيان]]</f>
        <v>-46</v>
      </c>
      <c r="AB60" s="3">
        <f>(P_FACT[[#This Row],[اجمالى المدة الزمنية المعتمدة]]-P_FACT[[#This Row],[المدة المنقضبة]])/P_FACT[[#This Row],[اجمالى المدة الزمنية المعتمدة]]</f>
        <v>1.058974358974359</v>
      </c>
    </row>
    <row r="61" spans="1:28" ht="22.5" customHeight="1" x14ac:dyDescent="0.3">
      <c r="A61" s="8" t="str" cm="1">
        <f t="array" ref="A61">_xlfn.XLOOKUP(P_FACT[[#This Row],[PROJECT ID]],Table3[PROJECT ID],Sheet1!$D$2:$D$142)</f>
        <v>شركة المقاولون العرب التشادية</v>
      </c>
      <c r="B61" s="5">
        <v>1099</v>
      </c>
      <c r="C61" s="5" t="s">
        <v>27</v>
      </c>
      <c r="D61" s="6">
        <v>46234</v>
      </c>
      <c r="E61" s="5" t="s">
        <v>142</v>
      </c>
      <c r="F61" s="10" t="s">
        <v>143</v>
      </c>
      <c r="G61" s="5">
        <v>12449949.256198347</v>
      </c>
      <c r="H61" s="5">
        <v>5766323.5256198347</v>
      </c>
      <c r="I61" s="4">
        <f>P_FACT[[#This Row],[منفذ شامل مستخلص داخلى
(B)]]/P_FACT[[#This Row],[اجمالى القيمة التعاقدية
(A)]]</f>
        <v>0.46316040386662666</v>
      </c>
      <c r="J61" s="5">
        <v>5766323.5256198347</v>
      </c>
      <c r="K61" s="4">
        <f>P_FACT[[#This Row],[منفذ معتمد
(C)]]/P_FACT[[#This Row],[اجمالى القيمة التعاقدية
(A)]]</f>
        <v>0.46316040386662666</v>
      </c>
      <c r="L61" s="5">
        <v>5766323.5256198347</v>
      </c>
      <c r="M61" s="4">
        <f>IF(P_FACT[[#This Row],[منفذ معتمد
(C)]]&gt;0,P_FACT[[#This Row],[اعمال مسدده
(D)]]/P_FACT[[#This Row],[منفذ معتمد
(C)]],0)</f>
        <v>1</v>
      </c>
      <c r="N61" s="5">
        <v>5766323.5256198347</v>
      </c>
      <c r="O61" s="4">
        <f>IF(P_FACT[[#This Row],[منفذ معتمد
(C)]]&gt;0,P_FACT[[#This Row],[سيولة محصلة
(F)]]/P_FACT[[#This Row],[منفذ معتمد
(C)]],0)</f>
        <v>1</v>
      </c>
      <c r="P61" s="5">
        <v>0</v>
      </c>
      <c r="Q61" s="4">
        <f>IF(P_FACT[[#This Row],[منفذ شامل مستخلص داخلى
(B)]]&gt;0,P_FACT[[#This Row],[الاعمال القابلة للصرف
(H)]]/P_FACT[[#This Row],[منفذ شامل مستخلص داخلى
(B)]],0)</f>
        <v>0</v>
      </c>
      <c r="R61" s="5">
        <v>0</v>
      </c>
      <c r="S61" s="4">
        <f>IF(P_FACT[[#This Row],[منفذ معتمد
(C)]]&gt;0,P_FACT[[#This Row],[غير قابلة للصرف
(G)]]/P_FACT[[#This Row],[منفذ معتمد
(C)]],0)</f>
        <v>0</v>
      </c>
      <c r="T61" s="5">
        <v>0</v>
      </c>
      <c r="U61" s="4">
        <f>IF(P_FACT[[#This Row],[منفذ معتمد
(C)]]&gt;0,P_FACT[[#This Row],[الربحية
(I)]]/P_FACT[[#This Row],[منفذ معتمد
(C)]],0)</f>
        <v>0</v>
      </c>
      <c r="V61" s="5">
        <v>0</v>
      </c>
      <c r="W61" s="4">
        <f>IF(P_FACT[[#This Row],[منفذ معتمد
(C)]]&gt;0,P_FACT[[#This Row],[الاجور
(J)]]/P_FACT[[#This Row],[منفذ معتمد
(C)]],0)</f>
        <v>0</v>
      </c>
      <c r="X61" s="6">
        <v>45591</v>
      </c>
      <c r="Y61" s="6">
        <v>45823</v>
      </c>
      <c r="Z61" s="2">
        <f>P_FACT[[#This Row],[تاريخ نهو المشروع المعدل شامل مد مدة الزمنى]]-P_FACT[[#This Row],[تاريخ بدء المشروع التعاقدى]]</f>
        <v>232</v>
      </c>
      <c r="AA61" s="2">
        <f>P_FACT[[#This Row],[تاريخ نهو المشروع المعدل شامل مد مدة الزمنى]]-P_FACT[[#This Row],[تاريخ تحديث البيان]]</f>
        <v>-411</v>
      </c>
      <c r="AB61" s="3">
        <f>(P_FACT[[#This Row],[اجمالى المدة الزمنية المعتمدة]]-P_FACT[[#This Row],[المدة المنقضبة]])/P_FACT[[#This Row],[اجمالى المدة الزمنية المعتمدة]]</f>
        <v>2.771551724137931</v>
      </c>
    </row>
    <row r="62" spans="1:28" ht="22.5" customHeight="1" x14ac:dyDescent="0.3">
      <c r="A62" s="7" t="str" cm="1">
        <f t="array" ref="A62">_xlfn.XLOOKUP(P_FACT[[#This Row],[PROJECT ID]],Table3[PROJECT ID],Sheet1!$D$2:$D$142)</f>
        <v>شركة المقاولون العرب التشادية</v>
      </c>
      <c r="B62" s="5">
        <v>1100</v>
      </c>
      <c r="C62" s="5" t="s">
        <v>27</v>
      </c>
      <c r="D62" s="6">
        <v>46234</v>
      </c>
      <c r="E62" s="5" t="s">
        <v>144</v>
      </c>
      <c r="F62" s="10" t="s">
        <v>145</v>
      </c>
      <c r="G62" s="5">
        <v>8280830.180165289</v>
      </c>
      <c r="H62" s="5">
        <v>7257299.216528926</v>
      </c>
      <c r="I62" s="4">
        <f>P_FACT[[#This Row],[منفذ شامل مستخلص داخلى
(B)]]/P_FACT[[#This Row],[اجمالى القيمة التعاقدية
(A)]]</f>
        <v>0.87639754211021237</v>
      </c>
      <c r="J62" s="5">
        <v>7257299.216528926</v>
      </c>
      <c r="K62" s="4">
        <f>P_FACT[[#This Row],[منفذ معتمد
(C)]]/P_FACT[[#This Row],[اجمالى القيمة التعاقدية
(A)]]</f>
        <v>0.87639754211021237</v>
      </c>
      <c r="L62" s="5">
        <v>7257299.216528926</v>
      </c>
      <c r="M62" s="4">
        <f>IF(P_FACT[[#This Row],[منفذ معتمد
(C)]]&gt;0,P_FACT[[#This Row],[اعمال مسدده
(D)]]/P_FACT[[#This Row],[منفذ معتمد
(C)]],0)</f>
        <v>1</v>
      </c>
      <c r="N62" s="5">
        <v>7257299.216528926</v>
      </c>
      <c r="O62" s="4">
        <f>IF(P_FACT[[#This Row],[منفذ معتمد
(C)]]&gt;0,P_FACT[[#This Row],[سيولة محصلة
(F)]]/P_FACT[[#This Row],[منفذ معتمد
(C)]],0)</f>
        <v>1</v>
      </c>
      <c r="P62" s="5">
        <v>0</v>
      </c>
      <c r="Q62" s="4">
        <f>IF(P_FACT[[#This Row],[منفذ شامل مستخلص داخلى
(B)]]&gt;0,P_FACT[[#This Row],[الاعمال القابلة للصرف
(H)]]/P_FACT[[#This Row],[منفذ شامل مستخلص داخلى
(B)]],0)</f>
        <v>0</v>
      </c>
      <c r="R62" s="5">
        <v>0</v>
      </c>
      <c r="S62" s="4">
        <f>IF(P_FACT[[#This Row],[منفذ معتمد
(C)]]&gt;0,P_FACT[[#This Row],[غير قابلة للصرف
(G)]]/P_FACT[[#This Row],[منفذ معتمد
(C)]],0)</f>
        <v>0</v>
      </c>
      <c r="T62" s="5">
        <v>0</v>
      </c>
      <c r="U62" s="4">
        <f>IF(P_FACT[[#This Row],[منفذ معتمد
(C)]]&gt;0,P_FACT[[#This Row],[الربحية
(I)]]/P_FACT[[#This Row],[منفذ معتمد
(C)]],0)</f>
        <v>0</v>
      </c>
      <c r="V62" s="5">
        <v>0</v>
      </c>
      <c r="W62" s="4">
        <f>IF(P_FACT[[#This Row],[منفذ معتمد
(C)]]&gt;0,P_FACT[[#This Row],[الاجور
(J)]]/P_FACT[[#This Row],[منفذ معتمد
(C)]],0)</f>
        <v>0</v>
      </c>
      <c r="X62" s="6">
        <v>45591</v>
      </c>
      <c r="Y62" s="6">
        <v>46386</v>
      </c>
      <c r="Z62" s="2">
        <f>P_FACT[[#This Row],[تاريخ نهو المشروع المعدل شامل مد مدة الزمنى]]-P_FACT[[#This Row],[تاريخ بدء المشروع التعاقدى]]</f>
        <v>795</v>
      </c>
      <c r="AA62" s="2">
        <f>P_FACT[[#This Row],[تاريخ نهو المشروع المعدل شامل مد مدة الزمنى]]-P_FACT[[#This Row],[تاريخ تحديث البيان]]</f>
        <v>152</v>
      </c>
      <c r="AB62" s="3">
        <f>(P_FACT[[#This Row],[اجمالى المدة الزمنية المعتمدة]]-P_FACT[[#This Row],[المدة المنقضبة]])/P_FACT[[#This Row],[اجمالى المدة الزمنية المعتمدة]]</f>
        <v>0.80880503144654092</v>
      </c>
    </row>
    <row r="63" spans="1:28" ht="22.5" customHeight="1" x14ac:dyDescent="0.3">
      <c r="A63" s="8" t="str" cm="1">
        <f t="array" ref="A63">_xlfn.XLOOKUP(P_FACT[[#This Row],[PROJECT ID]],Table3[PROJECT ID],Sheet1!$D$2:$D$142)</f>
        <v>شركة المقاولون العرب التشادية</v>
      </c>
      <c r="B63" s="5">
        <v>1108</v>
      </c>
      <c r="C63" s="5" t="s">
        <v>27</v>
      </c>
      <c r="D63" s="6">
        <v>46234</v>
      </c>
      <c r="E63" s="5" t="s">
        <v>161</v>
      </c>
      <c r="F63" s="10" t="s">
        <v>42</v>
      </c>
      <c r="G63" s="5">
        <v>1041158.2694214876</v>
      </c>
      <c r="H63" s="5">
        <v>377641.56528925622</v>
      </c>
      <c r="I63" s="4">
        <f>P_FACT[[#This Row],[منفذ شامل مستخلص داخلى
(B)]]/P_FACT[[#This Row],[اجمالى القيمة التعاقدية
(A)]]</f>
        <v>0.3627129288413472</v>
      </c>
      <c r="J63" s="5">
        <v>377641.56528925622</v>
      </c>
      <c r="K63" s="4">
        <f>P_FACT[[#This Row],[منفذ معتمد
(C)]]/P_FACT[[#This Row],[اجمالى القيمة التعاقدية
(A)]]</f>
        <v>0.3627129288413472</v>
      </c>
      <c r="L63" s="5">
        <v>377641.56528925622</v>
      </c>
      <c r="M63" s="4">
        <f>IF(P_FACT[[#This Row],[منفذ معتمد
(C)]]&gt;0,P_FACT[[#This Row],[اعمال مسدده
(D)]]/P_FACT[[#This Row],[منفذ معتمد
(C)]],0)</f>
        <v>1</v>
      </c>
      <c r="N63" s="5">
        <v>377641.56528925622</v>
      </c>
      <c r="O63" s="4">
        <f>IF(P_FACT[[#This Row],[منفذ معتمد
(C)]]&gt;0,P_FACT[[#This Row],[سيولة محصلة
(F)]]/P_FACT[[#This Row],[منفذ معتمد
(C)]],0)</f>
        <v>1</v>
      </c>
      <c r="P63" s="5">
        <v>0</v>
      </c>
      <c r="Q63" s="4">
        <f>IF(P_FACT[[#This Row],[منفذ شامل مستخلص داخلى
(B)]]&gt;0,P_FACT[[#This Row],[الاعمال القابلة للصرف
(H)]]/P_FACT[[#This Row],[منفذ شامل مستخلص داخلى
(B)]],0)</f>
        <v>0</v>
      </c>
      <c r="R63" s="5">
        <v>0</v>
      </c>
      <c r="S63" s="4">
        <f>IF(P_FACT[[#This Row],[منفذ معتمد
(C)]]&gt;0,P_FACT[[#This Row],[غير قابلة للصرف
(G)]]/P_FACT[[#This Row],[منفذ معتمد
(C)]],0)</f>
        <v>0</v>
      </c>
      <c r="T63" s="5">
        <v>0</v>
      </c>
      <c r="U63" s="4">
        <f>IF(P_FACT[[#This Row],[منفذ معتمد
(C)]]&gt;0,P_FACT[[#This Row],[الربحية
(I)]]/P_FACT[[#This Row],[منفذ معتمد
(C)]],0)</f>
        <v>0</v>
      </c>
      <c r="V63" s="5">
        <v>0</v>
      </c>
      <c r="W63" s="4">
        <f>IF(P_FACT[[#This Row],[منفذ معتمد
(C)]]&gt;0,P_FACT[[#This Row],[الاجور
(J)]]/P_FACT[[#This Row],[منفذ معتمد
(C)]],0)</f>
        <v>0</v>
      </c>
      <c r="X63" s="6">
        <v>45028</v>
      </c>
      <c r="Y63" s="6">
        <v>46203</v>
      </c>
      <c r="Z63" s="2">
        <f>P_FACT[[#This Row],[تاريخ نهو المشروع المعدل شامل مد مدة الزمنى]]-P_FACT[[#This Row],[تاريخ بدء المشروع التعاقدى]]</f>
        <v>1175</v>
      </c>
      <c r="AA63" s="2">
        <f>P_FACT[[#This Row],[تاريخ نهو المشروع المعدل شامل مد مدة الزمنى]]-P_FACT[[#This Row],[تاريخ تحديث البيان]]</f>
        <v>-31</v>
      </c>
      <c r="AB63" s="3">
        <f>(P_FACT[[#This Row],[اجمالى المدة الزمنية المعتمدة]]-P_FACT[[#This Row],[المدة المنقضبة]])/P_FACT[[#This Row],[اجمالى المدة الزمنية المعتمدة]]</f>
        <v>1.0263829787234042</v>
      </c>
    </row>
    <row r="64" spans="1:28" ht="22.5" customHeight="1" x14ac:dyDescent="0.3">
      <c r="A64" s="7" t="str" cm="1">
        <f t="array" ref="A64">_xlfn.XLOOKUP(P_FACT[[#This Row],[PROJECT ID]],Table3[PROJECT ID],Sheet1!$D$2:$D$142)</f>
        <v>فرع تشاد</v>
      </c>
      <c r="B64" s="5">
        <v>1012</v>
      </c>
      <c r="C64" s="5" t="s">
        <v>27</v>
      </c>
      <c r="D64" s="6">
        <v>46234</v>
      </c>
      <c r="E64" s="5" t="s">
        <v>105</v>
      </c>
      <c r="F64" s="10" t="s">
        <v>106</v>
      </c>
      <c r="G64" s="5">
        <v>19189170.968595043</v>
      </c>
      <c r="H64" s="5">
        <v>18977440.995041322</v>
      </c>
      <c r="I64" s="4">
        <f>P_FACT[[#This Row],[منفذ شامل مستخلص داخلى
(B)]]/P_FACT[[#This Row],[اجمالى القيمة التعاقدية
(A)]]</f>
        <v>0.98896617399989617</v>
      </c>
      <c r="J64" s="5">
        <v>18977440.995041322</v>
      </c>
      <c r="K64" s="4">
        <f>P_FACT[[#This Row],[منفذ معتمد
(C)]]/P_FACT[[#This Row],[اجمالى القيمة التعاقدية
(A)]]</f>
        <v>0.98896617399989617</v>
      </c>
      <c r="L64" s="5">
        <v>6841628.8842975209</v>
      </c>
      <c r="M64" s="4">
        <f>IF(P_FACT[[#This Row],[منفذ معتمد
(C)]]&gt;0,P_FACT[[#This Row],[اعمال مسدده
(D)]]/P_FACT[[#This Row],[منفذ معتمد
(C)]],0)</f>
        <v>0.36051377454342726</v>
      </c>
      <c r="N64" s="5">
        <v>6841628.8842975209</v>
      </c>
      <c r="O64" s="4">
        <f>IF(P_FACT[[#This Row],[منفذ معتمد
(C)]]&gt;0,P_FACT[[#This Row],[سيولة محصلة
(F)]]/P_FACT[[#This Row],[منفذ معتمد
(C)]],0)</f>
        <v>0.36051377454342726</v>
      </c>
      <c r="P64" s="5">
        <v>12135812.110743802</v>
      </c>
      <c r="Q64" s="4">
        <f>IF(P_FACT[[#This Row],[منفذ شامل مستخلص داخلى
(B)]]&gt;0,P_FACT[[#This Row],[الاعمال القابلة للصرف
(H)]]/P_FACT[[#This Row],[منفذ شامل مستخلص داخلى
(B)]],0)</f>
        <v>0.63948622545657274</v>
      </c>
      <c r="R64" s="5">
        <v>0</v>
      </c>
      <c r="S64" s="4">
        <f>IF(P_FACT[[#This Row],[منفذ معتمد
(C)]]&gt;0,P_FACT[[#This Row],[غير قابلة للصرف
(G)]]/P_FACT[[#This Row],[منفذ معتمد
(C)]],0)</f>
        <v>0</v>
      </c>
      <c r="T64" s="5">
        <v>3400488.3239669423</v>
      </c>
      <c r="U64" s="4">
        <f>IF(P_FACT[[#This Row],[منفذ معتمد
(C)]]&gt;0,P_FACT[[#This Row],[الربحية
(I)]]/P_FACT[[#This Row],[منفذ معتمد
(C)]],0)</f>
        <v>0.17918581988243132</v>
      </c>
      <c r="V64" s="5">
        <v>1555672.6479338843</v>
      </c>
      <c r="W64" s="4">
        <f>IF(P_FACT[[#This Row],[منفذ معتمد
(C)]]&gt;0,P_FACT[[#This Row],[الاجور
(J)]]/P_FACT[[#This Row],[منفذ معتمد
(C)]],0)</f>
        <v>8.1974837826679109E-2</v>
      </c>
      <c r="X64" s="6">
        <v>45019</v>
      </c>
      <c r="Y64" s="6">
        <v>45294</v>
      </c>
      <c r="Z64" s="2">
        <f>P_FACT[[#This Row],[تاريخ نهو المشروع المعدل شامل مد مدة الزمنى]]-P_FACT[[#This Row],[تاريخ بدء المشروع التعاقدى]]</f>
        <v>275</v>
      </c>
      <c r="AA64" s="2">
        <f>P_FACT[[#This Row],[تاريخ نهو المشروع المعدل شامل مد مدة الزمنى]]-P_FACT[[#This Row],[تاريخ تحديث البيان]]</f>
        <v>-940</v>
      </c>
      <c r="AB64" s="3">
        <f>(P_FACT[[#This Row],[اجمالى المدة الزمنية المعتمدة]]-P_FACT[[#This Row],[المدة المنقضبة]])/P_FACT[[#This Row],[اجمالى المدة الزمنية المعتمدة]]</f>
        <v>4.418181818181818</v>
      </c>
    </row>
    <row r="65" spans="1:28" ht="22.5" customHeight="1" x14ac:dyDescent="0.3">
      <c r="A65" s="8" t="str" cm="1">
        <f t="array" ref="A65">_xlfn.XLOOKUP(P_FACT[[#This Row],[PROJECT ID]],Table3[PROJECT ID],Sheet1!$D$2:$D$142)</f>
        <v>فرع تشاد</v>
      </c>
      <c r="B65" s="5">
        <v>1013</v>
      </c>
      <c r="C65" s="5" t="s">
        <v>27</v>
      </c>
      <c r="D65" s="6">
        <v>46234</v>
      </c>
      <c r="E65" s="5" t="s">
        <v>24</v>
      </c>
      <c r="F65" s="10" t="s">
        <v>25</v>
      </c>
      <c r="G65" s="5">
        <v>42699055</v>
      </c>
      <c r="H65" s="5">
        <v>29169715</v>
      </c>
      <c r="I65" s="4">
        <f>P_FACT[[#This Row],[منفذ شامل مستخلص داخلى
(B)]]/P_FACT[[#This Row],[اجمالى القيمة التعاقدية
(A)]]</f>
        <v>0.68314661764762707</v>
      </c>
      <c r="J65" s="5">
        <v>29169715</v>
      </c>
      <c r="K65" s="4">
        <f>P_FACT[[#This Row],[منفذ معتمد
(C)]]/P_FACT[[#This Row],[اجمالى القيمة التعاقدية
(A)]]</f>
        <v>0.68314661764762707</v>
      </c>
      <c r="L65" s="5">
        <v>28089898</v>
      </c>
      <c r="M65" s="4">
        <f>IF(P_FACT[[#This Row],[منفذ معتمد
(C)]]&gt;0,P_FACT[[#This Row],[اعمال مسدده
(D)]]/P_FACT[[#This Row],[منفذ معتمد
(C)]],0)</f>
        <v>0.96298157181172317</v>
      </c>
      <c r="N65" s="5">
        <v>28089898</v>
      </c>
      <c r="O65" s="4">
        <f>IF(P_FACT[[#This Row],[منفذ معتمد
(C)]]&gt;0,P_FACT[[#This Row],[سيولة محصلة
(F)]]/P_FACT[[#This Row],[منفذ معتمد
(C)]],0)</f>
        <v>0.96298157181172317</v>
      </c>
      <c r="P65" s="5">
        <v>1079817</v>
      </c>
      <c r="Q65" s="4">
        <f>IF(P_FACT[[#This Row],[منفذ شامل مستخلص داخلى
(B)]]&gt;0,P_FACT[[#This Row],[الاعمال القابلة للصرف
(H)]]/P_FACT[[#This Row],[منفذ شامل مستخلص داخلى
(B)]],0)</f>
        <v>3.7018428188276782E-2</v>
      </c>
      <c r="R65" s="5">
        <v>0</v>
      </c>
      <c r="S65" s="4">
        <f>IF(P_FACT[[#This Row],[منفذ معتمد
(C)]]&gt;0,P_FACT[[#This Row],[غير قابلة للصرف
(G)]]/P_FACT[[#This Row],[منفذ معتمد
(C)]],0)</f>
        <v>0</v>
      </c>
      <c r="T65" s="5">
        <v>12586284</v>
      </c>
      <c r="U65" s="4">
        <f>IF(P_FACT[[#This Row],[منفذ معتمد
(C)]]&gt;0,P_FACT[[#This Row],[الربحية
(I)]]/P_FACT[[#This Row],[منفذ معتمد
(C)]],0)</f>
        <v>0.43148464083382371</v>
      </c>
      <c r="V65" s="5">
        <v>3567325</v>
      </c>
      <c r="W65" s="4">
        <f>IF(P_FACT[[#This Row],[منفذ معتمد
(C)]]&gt;0,P_FACT[[#This Row],[الاجور
(J)]]/P_FACT[[#This Row],[منفذ معتمد
(C)]],0)</f>
        <v>0.12229550408702999</v>
      </c>
      <c r="X65" s="6">
        <v>43985</v>
      </c>
      <c r="Y65" s="6">
        <v>46576</v>
      </c>
      <c r="Z65" s="2">
        <f>P_FACT[[#This Row],[تاريخ نهو المشروع المعدل شامل مد مدة الزمنى]]-P_FACT[[#This Row],[تاريخ بدء المشروع التعاقدى]]</f>
        <v>2591</v>
      </c>
      <c r="AA65" s="2">
        <f>P_FACT[[#This Row],[تاريخ نهو المشروع المعدل شامل مد مدة الزمنى]]-P_FACT[[#This Row],[تاريخ تحديث البيان]]</f>
        <v>342</v>
      </c>
      <c r="AB65" s="3">
        <f>(P_FACT[[#This Row],[اجمالى المدة الزمنية المعتمدة]]-P_FACT[[#This Row],[المدة المنقضبة]])/P_FACT[[#This Row],[اجمالى المدة الزمنية المعتمدة]]</f>
        <v>0.86800463141644157</v>
      </c>
    </row>
    <row r="66" spans="1:28" ht="22.5" customHeight="1" x14ac:dyDescent="0.3">
      <c r="A66" s="7" t="str" cm="1">
        <f t="array" ref="A66">_xlfn.XLOOKUP(P_FACT[[#This Row],[PROJECT ID]],Table3[PROJECT ID],Sheet1!$D$2:$D$142)</f>
        <v>فرع تشاد</v>
      </c>
      <c r="B66" s="5">
        <v>1014</v>
      </c>
      <c r="C66" s="5" t="s">
        <v>27</v>
      </c>
      <c r="D66" s="6">
        <v>46234</v>
      </c>
      <c r="E66" s="5" t="s">
        <v>43</v>
      </c>
      <c r="F66" s="10" t="s">
        <v>44</v>
      </c>
      <c r="G66" s="5">
        <v>128305740.54380165</v>
      </c>
      <c r="H66" s="5">
        <v>106178339.84628099</v>
      </c>
      <c r="I66" s="4">
        <f>P_FACT[[#This Row],[منفذ شامل مستخلص داخلى
(B)]]/P_FACT[[#This Row],[اجمالى القيمة التعاقدية
(A)]]</f>
        <v>0.82754161580193131</v>
      </c>
      <c r="J66" s="5">
        <v>99364166.338842973</v>
      </c>
      <c r="K66" s="4">
        <f>P_FACT[[#This Row],[منفذ معتمد
(C)]]/P_FACT[[#This Row],[اجمالى القيمة التعاقدية
(A)]]</f>
        <v>0.77443274102705906</v>
      </c>
      <c r="L66" s="5">
        <v>82411751.085950419</v>
      </c>
      <c r="M66" s="4">
        <f>IF(P_FACT[[#This Row],[منفذ معتمد
(C)]]&gt;0,P_FACT[[#This Row],[اعمال مسدده
(D)]]/P_FACT[[#This Row],[منفذ معتمد
(C)]],0)</f>
        <v>0.82939105839138316</v>
      </c>
      <c r="N66" s="5">
        <v>82411751.085950419</v>
      </c>
      <c r="O66" s="4">
        <f>IF(P_FACT[[#This Row],[منفذ معتمد
(C)]]&gt;0,P_FACT[[#This Row],[سيولة محصلة
(F)]]/P_FACT[[#This Row],[منفذ معتمد
(C)]],0)</f>
        <v>0.82939105839138316</v>
      </c>
      <c r="P66" s="5">
        <v>16952415.252892561</v>
      </c>
      <c r="Q66" s="4">
        <f>IF(P_FACT[[#This Row],[منفذ شامل مستخلص داخلى
(B)]]&gt;0,P_FACT[[#This Row],[الاعمال القابلة للصرف
(H)]]/P_FACT[[#This Row],[منفذ شامل مستخلص داخلى
(B)]],0)</f>
        <v>0.15965982588760863</v>
      </c>
      <c r="R66" s="5">
        <v>6814173.5074380161</v>
      </c>
      <c r="S66" s="4">
        <f>IF(P_FACT[[#This Row],[منفذ معتمد
(C)]]&gt;0,P_FACT[[#This Row],[غير قابلة للصرف
(G)]]/P_FACT[[#This Row],[منفذ معتمد
(C)]],0)</f>
        <v>6.857777565607423E-2</v>
      </c>
      <c r="T66" s="5">
        <v>7539978.211570248</v>
      </c>
      <c r="U66" s="4">
        <f>IF(P_FACT[[#This Row],[منفذ معتمد
(C)]]&gt;0,P_FACT[[#This Row],[الربحية
(I)]]/P_FACT[[#This Row],[منفذ معتمد
(C)]],0)</f>
        <v>7.5882267112855104E-2</v>
      </c>
      <c r="V66" s="5">
        <v>11774138.499173554</v>
      </c>
      <c r="W66" s="4">
        <f>IF(P_FACT[[#This Row],[منفذ معتمد
(C)]]&gt;0,P_FACT[[#This Row],[الاجور
(J)]]/P_FACT[[#This Row],[منفذ معتمد
(C)]],0)</f>
        <v>0.11849481491166965</v>
      </c>
      <c r="X66" s="6">
        <v>44727</v>
      </c>
      <c r="Y66" s="6">
        <v>46371</v>
      </c>
      <c r="Z66" s="2">
        <f>P_FACT[[#This Row],[تاريخ نهو المشروع المعدل شامل مد مدة الزمنى]]-P_FACT[[#This Row],[تاريخ بدء المشروع التعاقدى]]</f>
        <v>1644</v>
      </c>
      <c r="AA66" s="2">
        <f>P_FACT[[#This Row],[تاريخ نهو المشروع المعدل شامل مد مدة الزمنى]]-P_FACT[[#This Row],[تاريخ تحديث البيان]]</f>
        <v>137</v>
      </c>
      <c r="AB66" s="3">
        <f>(P_FACT[[#This Row],[اجمالى المدة الزمنية المعتمدة]]-P_FACT[[#This Row],[المدة المنقضبة]])/P_FACT[[#This Row],[اجمالى المدة الزمنية المعتمدة]]</f>
        <v>0.91666666666666663</v>
      </c>
    </row>
    <row r="67" spans="1:28" ht="22.5" customHeight="1" x14ac:dyDescent="0.3">
      <c r="A67" s="8" t="str" cm="1">
        <f t="array" ref="A67">_xlfn.XLOOKUP(P_FACT[[#This Row],[PROJECT ID]],Table3[PROJECT ID],Sheet1!$D$2:$D$142)</f>
        <v>فرع تشاد</v>
      </c>
      <c r="B67" s="5">
        <v>1015</v>
      </c>
      <c r="C67" s="5" t="s">
        <v>27</v>
      </c>
      <c r="D67" s="6">
        <v>46234</v>
      </c>
      <c r="E67" s="5" t="s">
        <v>82</v>
      </c>
      <c r="F67" s="10" t="s">
        <v>83</v>
      </c>
      <c r="G67" s="5">
        <v>11212198.084297521</v>
      </c>
      <c r="H67" s="5">
        <v>11186588.923966942</v>
      </c>
      <c r="I67" s="4">
        <f>P_FACT[[#This Row],[منفذ شامل مستخلص داخلى
(B)]]/P_FACT[[#This Row],[اجمالى القيمة التعاقدية
(A)]]</f>
        <v>0.99771595541409108</v>
      </c>
      <c r="J67" s="5">
        <v>11186588.923966942</v>
      </c>
      <c r="K67" s="4">
        <f>P_FACT[[#This Row],[منفذ معتمد
(C)]]/P_FACT[[#This Row],[اجمالى القيمة التعاقدية
(A)]]</f>
        <v>0.99771595541409108</v>
      </c>
      <c r="L67" s="5">
        <v>7945179.6975206612</v>
      </c>
      <c r="M67" s="4">
        <f>IF(P_FACT[[#This Row],[منفذ معتمد
(C)]]&gt;0,P_FACT[[#This Row],[اعمال مسدده
(D)]]/P_FACT[[#This Row],[منفذ معتمد
(C)]],0)</f>
        <v>0.71024150002494002</v>
      </c>
      <c r="N67" s="5">
        <v>7945179.6975206612</v>
      </c>
      <c r="O67" s="4">
        <f>IF(P_FACT[[#This Row],[منفذ معتمد
(C)]]&gt;0,P_FACT[[#This Row],[سيولة محصلة
(F)]]/P_FACT[[#This Row],[منفذ معتمد
(C)]],0)</f>
        <v>0.71024150002494002</v>
      </c>
      <c r="P67" s="5">
        <v>3241409.2264462812</v>
      </c>
      <c r="Q67" s="4">
        <f>IF(P_FACT[[#This Row],[منفذ شامل مستخلص داخلى
(B)]]&gt;0,P_FACT[[#This Row],[الاعمال القابلة للصرف
(H)]]/P_FACT[[#This Row],[منفذ شامل مستخلص داخلى
(B)]],0)</f>
        <v>0.28975849997505992</v>
      </c>
      <c r="R67" s="5">
        <v>0</v>
      </c>
      <c r="S67" s="4">
        <f>IF(P_FACT[[#This Row],[منفذ معتمد
(C)]]&gt;0,P_FACT[[#This Row],[غير قابلة للصرف
(G)]]/P_FACT[[#This Row],[منفذ معتمد
(C)]],0)</f>
        <v>0</v>
      </c>
      <c r="T67" s="5">
        <v>1423021.5322314049</v>
      </c>
      <c r="U67" s="4">
        <f>IF(P_FACT[[#This Row],[منفذ معتمد
(C)]]&gt;0,P_FACT[[#This Row],[الربحية
(I)]]/P_FACT[[#This Row],[منفذ معتمد
(C)]],0)</f>
        <v>0.12720781481320212</v>
      </c>
      <c r="V67" s="5">
        <v>1608607.9322314051</v>
      </c>
      <c r="W67" s="4">
        <f>IF(P_FACT[[#This Row],[منفذ معتمد
(C)]]&gt;0,P_FACT[[#This Row],[الاجور
(J)]]/P_FACT[[#This Row],[منفذ معتمد
(C)]],0)</f>
        <v>0.14379789435052978</v>
      </c>
      <c r="X67" s="6">
        <v>45028</v>
      </c>
      <c r="Y67" s="6">
        <v>45568</v>
      </c>
      <c r="Z67" s="2">
        <f>P_FACT[[#This Row],[تاريخ نهو المشروع المعدل شامل مد مدة الزمنى]]-P_FACT[[#This Row],[تاريخ بدء المشروع التعاقدى]]</f>
        <v>540</v>
      </c>
      <c r="AA67" s="2">
        <f>P_FACT[[#This Row],[تاريخ نهو المشروع المعدل شامل مد مدة الزمنى]]-P_FACT[[#This Row],[تاريخ تحديث البيان]]</f>
        <v>-666</v>
      </c>
      <c r="AB67" s="3">
        <f>(P_FACT[[#This Row],[اجمالى المدة الزمنية المعتمدة]]-P_FACT[[#This Row],[المدة المنقضبة]])/P_FACT[[#This Row],[اجمالى المدة الزمنية المعتمدة]]</f>
        <v>2.2333333333333334</v>
      </c>
    </row>
    <row r="68" spans="1:28" ht="22.5" customHeight="1" x14ac:dyDescent="0.3">
      <c r="A68" s="7" t="str" cm="1">
        <f t="array" ref="A68">_xlfn.XLOOKUP(P_FACT[[#This Row],[PROJECT ID]],Table3[PROJECT ID],Sheet1!$D$2:$D$142)</f>
        <v>فرع تشاد</v>
      </c>
      <c r="B68" s="5">
        <v>1016</v>
      </c>
      <c r="C68" s="5" t="s">
        <v>27</v>
      </c>
      <c r="D68" s="6">
        <v>46234</v>
      </c>
      <c r="E68" s="5" t="s">
        <v>39</v>
      </c>
      <c r="F68" s="10" t="s">
        <v>40</v>
      </c>
      <c r="G68" s="5">
        <v>100235170.52892561</v>
      </c>
      <c r="H68" s="5">
        <v>26113477.071074381</v>
      </c>
      <c r="I68" s="4">
        <f>P_FACT[[#This Row],[منفذ شامل مستخلص داخلى
(B)]]/P_FACT[[#This Row],[اجمالى القيمة التعاقدية
(A)]]</f>
        <v>0.26052209951135485</v>
      </c>
      <c r="J68" s="5">
        <v>26113477.071074381</v>
      </c>
      <c r="K68" s="4">
        <f>P_FACT[[#This Row],[منفذ معتمد
(C)]]/P_FACT[[#This Row],[اجمالى القيمة التعاقدية
(A)]]</f>
        <v>0.26052209951135485</v>
      </c>
      <c r="L68" s="5">
        <v>9398816.3752066121</v>
      </c>
      <c r="M68" s="4">
        <f>IF(P_FACT[[#This Row],[منفذ معتمد
(C)]]&gt;0,P_FACT[[#This Row],[اعمال مسدده
(D)]]/P_FACT[[#This Row],[منفذ معتمد
(C)]],0)</f>
        <v>0.35992205670755273</v>
      </c>
      <c r="N68" s="5">
        <v>30521530.715702478</v>
      </c>
      <c r="O68" s="4">
        <f>IF(P_FACT[[#This Row],[منفذ معتمد
(C)]]&gt;0,P_FACT[[#This Row],[سيولة محصلة
(F)]]/P_FACT[[#This Row],[منفذ معتمد
(C)]],0)</f>
        <v>1.1688037802331137</v>
      </c>
      <c r="P68" s="5">
        <v>16714660.695867769</v>
      </c>
      <c r="Q68" s="4">
        <f>IF(P_FACT[[#This Row],[منفذ شامل مستخلص داخلى
(B)]]&gt;0,P_FACT[[#This Row],[الاعمال القابلة للصرف
(H)]]/P_FACT[[#This Row],[منفذ شامل مستخلص داخلى
(B)]],0)</f>
        <v>0.64007794329244727</v>
      </c>
      <c r="R68" s="5">
        <v>0</v>
      </c>
      <c r="S68" s="4">
        <f>IF(P_FACT[[#This Row],[منفذ معتمد
(C)]]&gt;0,P_FACT[[#This Row],[غير قابلة للصرف
(G)]]/P_FACT[[#This Row],[منفذ معتمد
(C)]],0)</f>
        <v>0</v>
      </c>
      <c r="T68" s="5">
        <v>671985.24958677683</v>
      </c>
      <c r="U68" s="4">
        <f>IF(P_FACT[[#This Row],[منفذ معتمد
(C)]]&gt;0,P_FACT[[#This Row],[الربحية
(I)]]/P_FACT[[#This Row],[منفذ معتمد
(C)]],0)</f>
        <v>2.5733273579684555E-2</v>
      </c>
      <c r="V68" s="5">
        <v>3488224.4595041322</v>
      </c>
      <c r="W68" s="4">
        <f>IF(P_FACT[[#This Row],[منفذ معتمد
(C)]]&gt;0,P_FACT[[#This Row],[الاجور
(J)]]/P_FACT[[#This Row],[منفذ معتمد
(C)]],0)</f>
        <v>0.13357947124429481</v>
      </c>
      <c r="X68" s="6">
        <v>45028</v>
      </c>
      <c r="Y68" s="6">
        <v>46430</v>
      </c>
      <c r="Z68" s="2">
        <f>P_FACT[[#This Row],[تاريخ نهو المشروع المعدل شامل مد مدة الزمنى]]-P_FACT[[#This Row],[تاريخ بدء المشروع التعاقدى]]</f>
        <v>1402</v>
      </c>
      <c r="AA68" s="2">
        <f>P_FACT[[#This Row],[تاريخ نهو المشروع المعدل شامل مد مدة الزمنى]]-P_FACT[[#This Row],[تاريخ تحديث البيان]]</f>
        <v>196</v>
      </c>
      <c r="AB68" s="3">
        <f>(P_FACT[[#This Row],[اجمالى المدة الزمنية المعتمدة]]-P_FACT[[#This Row],[المدة المنقضبة]])/P_FACT[[#This Row],[اجمالى المدة الزمنية المعتمدة]]</f>
        <v>0.86019971469329526</v>
      </c>
    </row>
    <row r="69" spans="1:28" ht="22.5" customHeight="1" x14ac:dyDescent="0.3">
      <c r="A69" s="8" t="str" cm="1">
        <f t="array" ref="A69">_xlfn.XLOOKUP(P_FACT[[#This Row],[PROJECT ID]],Table3[PROJECT ID],Sheet1!$D$2:$D$142)</f>
        <v>فرع تشاد</v>
      </c>
      <c r="B69" s="5">
        <v>1017</v>
      </c>
      <c r="C69" s="5" t="s">
        <v>27</v>
      </c>
      <c r="D69" s="6">
        <v>46234</v>
      </c>
      <c r="E69" s="5" t="s">
        <v>41</v>
      </c>
      <c r="F69" s="10" t="s">
        <v>42</v>
      </c>
      <c r="G69" s="5">
        <v>49468398.758677684</v>
      </c>
      <c r="H69" s="5">
        <v>12693896.661157025</v>
      </c>
      <c r="I69" s="4">
        <f>P_FACT[[#This Row],[منفذ شامل مستخلص داخلى
(B)]]/P_FACT[[#This Row],[اجمالى القيمة التعاقدية
(A)]]</f>
        <v>0.25660617646190292</v>
      </c>
      <c r="J69" s="5">
        <v>12693896.661157025</v>
      </c>
      <c r="K69" s="4">
        <f>P_FACT[[#This Row],[منفذ معتمد
(C)]]/P_FACT[[#This Row],[اجمالى القيمة التعاقدية
(A)]]</f>
        <v>0.25660617646190292</v>
      </c>
      <c r="L69" s="5">
        <v>0</v>
      </c>
      <c r="M69" s="4">
        <f>IF(P_FACT[[#This Row],[منفذ معتمد
(C)]]&gt;0,P_FACT[[#This Row],[اعمال مسدده
(D)]]/P_FACT[[#This Row],[منفذ معتمد
(C)]],0)</f>
        <v>0</v>
      </c>
      <c r="N69" s="5">
        <v>10724048.69752066</v>
      </c>
      <c r="O69" s="4">
        <f>IF(P_FACT[[#This Row],[منفذ معتمد
(C)]]&gt;0,P_FACT[[#This Row],[سيولة محصلة
(F)]]/P_FACT[[#This Row],[منفذ معتمد
(C)]],0)</f>
        <v>0.84481928471467349</v>
      </c>
      <c r="P69" s="5">
        <v>12693896.661157025</v>
      </c>
      <c r="Q69" s="4">
        <f>IF(P_FACT[[#This Row],[منفذ شامل مستخلص داخلى
(B)]]&gt;0,P_FACT[[#This Row],[الاعمال القابلة للصرف
(H)]]/P_FACT[[#This Row],[منفذ شامل مستخلص داخلى
(B)]],0)</f>
        <v>1</v>
      </c>
      <c r="R69" s="5">
        <v>0</v>
      </c>
      <c r="S69" s="4">
        <f>IF(P_FACT[[#This Row],[منفذ معتمد
(C)]]&gt;0,P_FACT[[#This Row],[غير قابلة للصرف
(G)]]/P_FACT[[#This Row],[منفذ معتمد
(C)]],0)</f>
        <v>0</v>
      </c>
      <c r="T69" s="5">
        <v>894241.27438016527</v>
      </c>
      <c r="U69" s="4">
        <f>IF(P_FACT[[#This Row],[منفذ معتمد
(C)]]&gt;0,P_FACT[[#This Row],[الربحية
(I)]]/P_FACT[[#This Row],[منفذ معتمد
(C)]],0)</f>
        <v>7.0446553824289354E-2</v>
      </c>
      <c r="V69" s="5">
        <v>1241490.920661157</v>
      </c>
      <c r="W69" s="4">
        <f>IF(P_FACT[[#This Row],[منفذ معتمد
(C)]]&gt;0,P_FACT[[#This Row],[الاجور
(J)]]/P_FACT[[#This Row],[منفذ معتمد
(C)]],0)</f>
        <v>9.7802192171619381E-2</v>
      </c>
      <c r="X69" s="6">
        <v>45028</v>
      </c>
      <c r="Y69" s="6">
        <v>45577</v>
      </c>
      <c r="Z69" s="2">
        <f>P_FACT[[#This Row],[تاريخ نهو المشروع المعدل شامل مد مدة الزمنى]]-P_FACT[[#This Row],[تاريخ بدء المشروع التعاقدى]]</f>
        <v>549</v>
      </c>
      <c r="AA69" s="2">
        <f>P_FACT[[#This Row],[تاريخ نهو المشروع المعدل شامل مد مدة الزمنى]]-P_FACT[[#This Row],[تاريخ تحديث البيان]]</f>
        <v>-657</v>
      </c>
      <c r="AB69" s="3">
        <f>(P_FACT[[#This Row],[اجمالى المدة الزمنية المعتمدة]]-P_FACT[[#This Row],[المدة المنقضبة]])/P_FACT[[#This Row],[اجمالى المدة الزمنية المعتمدة]]</f>
        <v>2.1967213114754101</v>
      </c>
    </row>
    <row r="70" spans="1:28" ht="22.5" customHeight="1" x14ac:dyDescent="0.3">
      <c r="A70" s="7" t="str" cm="1">
        <f t="array" ref="A70">_xlfn.XLOOKUP(P_FACT[[#This Row],[PROJECT ID]],Table3[PROJECT ID],Sheet1!$D$2:$D$142)</f>
        <v>فرع السودان</v>
      </c>
      <c r="B70" s="5">
        <v>1009</v>
      </c>
      <c r="C70" s="5" t="s">
        <v>88</v>
      </c>
      <c r="D70" s="6">
        <v>46234</v>
      </c>
      <c r="E70" s="5" t="s">
        <v>87</v>
      </c>
      <c r="F70" s="10" t="s">
        <v>226</v>
      </c>
      <c r="G70" s="5">
        <v>3325990.1574803148</v>
      </c>
      <c r="H70" s="5">
        <v>1885553.4120734907</v>
      </c>
      <c r="I70" s="4">
        <f>P_FACT[[#This Row],[منفذ شامل مستخلص داخلى
(B)]]/P_FACT[[#This Row],[اجمالى القيمة التعاقدية
(A)]]</f>
        <v>0.56691491038624653</v>
      </c>
      <c r="J70" s="5">
        <v>1885553.4120734907</v>
      </c>
      <c r="K70" s="4">
        <f>P_FACT[[#This Row],[منفذ معتمد
(C)]]/P_FACT[[#This Row],[اجمالى القيمة التعاقدية
(A)]]</f>
        <v>0.56691491038624653</v>
      </c>
      <c r="L70" s="5">
        <v>1885553.4120734907</v>
      </c>
      <c r="M70" s="4">
        <f>IF(P_FACT[[#This Row],[منفذ معتمد
(C)]]&gt;0,P_FACT[[#This Row],[اعمال مسدده
(D)]]/P_FACT[[#This Row],[منفذ معتمد
(C)]],0)</f>
        <v>1</v>
      </c>
      <c r="N70" s="5">
        <v>2343810.9343832019</v>
      </c>
      <c r="O70" s="4">
        <f>IF(P_FACT[[#This Row],[منفذ معتمد
(C)]]&gt;0,P_FACT[[#This Row],[سيولة محصلة
(F)]]/P_FACT[[#This Row],[منفذ معتمد
(C)]],0)</f>
        <v>1.2430360865809567</v>
      </c>
      <c r="P70" s="5">
        <v>0</v>
      </c>
      <c r="Q70" s="4">
        <f>IF(P_FACT[[#This Row],[منفذ شامل مستخلص داخلى
(B)]]&gt;0,P_FACT[[#This Row],[الاعمال القابلة للصرف
(H)]]/P_FACT[[#This Row],[منفذ شامل مستخلص داخلى
(B)]],0)</f>
        <v>0</v>
      </c>
      <c r="R70" s="5">
        <v>0</v>
      </c>
      <c r="S70" s="4">
        <f>IF(P_FACT[[#This Row],[منفذ معتمد
(C)]]&gt;0,P_FACT[[#This Row],[غير قابلة للصرف
(G)]]/P_FACT[[#This Row],[منفذ معتمد
(C)]],0)</f>
        <v>0</v>
      </c>
      <c r="T70" s="5">
        <v>188555.24934383202</v>
      </c>
      <c r="U70" s="4">
        <f>IF(P_FACT[[#This Row],[منفذ معتمد
(C)]]&gt;0,P_FACT[[#This Row],[الربحية
(I)]]/P_FACT[[#This Row],[منفذ معتمد
(C)]],0)</f>
        <v>9.999995128034217E-2</v>
      </c>
      <c r="V70" s="5">
        <v>132382.41469816273</v>
      </c>
      <c r="W70" s="4">
        <f>IF(P_FACT[[#This Row],[منفذ معتمد
(C)]]&gt;0,P_FACT[[#This Row],[الاجور
(J)]]/P_FACT[[#This Row],[منفذ معتمد
(C)]],0)</f>
        <v>7.0208785309659016E-2</v>
      </c>
      <c r="X70" s="6">
        <v>42110</v>
      </c>
      <c r="Y70" s="6">
        <v>42841</v>
      </c>
      <c r="Z70" s="2">
        <f>P_FACT[[#This Row],[تاريخ نهو المشروع المعدل شامل مد مدة الزمنى]]-P_FACT[[#This Row],[تاريخ بدء المشروع التعاقدى]]</f>
        <v>731</v>
      </c>
      <c r="AA70" s="2">
        <f>P_FACT[[#This Row],[تاريخ نهو المشروع المعدل شامل مد مدة الزمنى]]-P_FACT[[#This Row],[تاريخ تحديث البيان]]</f>
        <v>-3393</v>
      </c>
      <c r="AB70" s="3">
        <f>(P_FACT[[#This Row],[اجمالى المدة الزمنية المعتمدة]]-P_FACT[[#This Row],[المدة المنقضبة]])/P_FACT[[#This Row],[اجمالى المدة الزمنية المعتمدة]]</f>
        <v>5.6415868673050618</v>
      </c>
    </row>
    <row r="71" spans="1:28" ht="22.5" customHeight="1" x14ac:dyDescent="0.3">
      <c r="A71" s="8" t="str" cm="1">
        <f t="array" ref="A71">_xlfn.XLOOKUP(P_FACT[[#This Row],[PROJECT ID]],Table3[PROJECT ID],Sheet1!$D$2:$D$142)</f>
        <v>شركة المقاولون العرب التنزانية</v>
      </c>
      <c r="B71" s="5">
        <v>1045</v>
      </c>
      <c r="C71" s="5" t="s">
        <v>90</v>
      </c>
      <c r="D71" s="6">
        <v>46234</v>
      </c>
      <c r="E71" s="5" t="s">
        <v>91</v>
      </c>
      <c r="F71" s="10" t="s">
        <v>225</v>
      </c>
      <c r="G71" s="5">
        <v>1534023</v>
      </c>
      <c r="H71" s="5">
        <v>1455281.51</v>
      </c>
      <c r="I71" s="4">
        <f>P_FACT[[#This Row],[منفذ شامل مستخلص داخلى
(B)]]/P_FACT[[#This Row],[اجمالى القيمة التعاقدية
(A)]]</f>
        <v>0.94866994171534591</v>
      </c>
      <c r="J71" s="5">
        <v>1455281.51</v>
      </c>
      <c r="K71" s="4">
        <f>P_FACT[[#This Row],[منفذ معتمد
(C)]]/P_FACT[[#This Row],[اجمالى القيمة التعاقدية
(A)]]</f>
        <v>0.94866994171534591</v>
      </c>
      <c r="L71" s="5">
        <v>1455281.51</v>
      </c>
      <c r="M71" s="4">
        <f>IF(P_FACT[[#This Row],[منفذ معتمد
(C)]]&gt;0,P_FACT[[#This Row],[اعمال مسدده
(D)]]/P_FACT[[#This Row],[منفذ معتمد
(C)]],0)</f>
        <v>1</v>
      </c>
      <c r="N71" s="5">
        <v>1455281.51</v>
      </c>
      <c r="O71" s="4">
        <f>IF(P_FACT[[#This Row],[منفذ معتمد
(C)]]&gt;0,P_FACT[[#This Row],[سيولة محصلة
(F)]]/P_FACT[[#This Row],[منفذ معتمد
(C)]],0)</f>
        <v>1</v>
      </c>
      <c r="P71" s="5">
        <v>0</v>
      </c>
      <c r="Q71" s="4">
        <f>IF(P_FACT[[#This Row],[منفذ شامل مستخلص داخلى
(B)]]&gt;0,P_FACT[[#This Row],[الاعمال القابلة للصرف
(H)]]/P_FACT[[#This Row],[منفذ شامل مستخلص داخلى
(B)]],0)</f>
        <v>0</v>
      </c>
      <c r="R71" s="5">
        <v>0</v>
      </c>
      <c r="S71" s="4">
        <f>IF(P_FACT[[#This Row],[منفذ معتمد
(C)]]&gt;0,P_FACT[[#This Row],[غير قابلة للصرف
(G)]]/P_FACT[[#This Row],[منفذ معتمد
(C)]],0)</f>
        <v>0</v>
      </c>
      <c r="T71" s="5">
        <v>568021</v>
      </c>
      <c r="U71" s="4">
        <f>IF(P_FACT[[#This Row],[منفذ معتمد
(C)]]&gt;0,P_FACT[[#This Row],[الربحية
(I)]]/P_FACT[[#This Row],[منفذ معتمد
(C)]],0)</f>
        <v>0.39031692225650555</v>
      </c>
      <c r="V71" s="5">
        <v>231245</v>
      </c>
      <c r="W71" s="4">
        <f>IF(P_FACT[[#This Row],[منفذ معتمد
(C)]]&gt;0,P_FACT[[#This Row],[الاجور
(J)]]/P_FACT[[#This Row],[منفذ معتمد
(C)]],0)</f>
        <v>0.1589005277748633</v>
      </c>
      <c r="X71" s="6">
        <v>45454</v>
      </c>
      <c r="Y71" s="6">
        <v>45807</v>
      </c>
      <c r="Z71" s="2">
        <f>P_FACT[[#This Row],[تاريخ نهو المشروع المعدل شامل مد مدة الزمنى]]-P_FACT[[#This Row],[تاريخ بدء المشروع التعاقدى]]</f>
        <v>353</v>
      </c>
      <c r="AA71" s="2">
        <f>P_FACT[[#This Row],[تاريخ نهو المشروع المعدل شامل مد مدة الزمنى]]-P_FACT[[#This Row],[تاريخ تحديث البيان]]</f>
        <v>-427</v>
      </c>
      <c r="AB71" s="3">
        <f>(P_FACT[[#This Row],[اجمالى المدة الزمنية المعتمدة]]-P_FACT[[#This Row],[المدة المنقضبة]])/P_FACT[[#This Row],[اجمالى المدة الزمنية المعتمدة]]</f>
        <v>2.2096317280453257</v>
      </c>
    </row>
    <row r="72" spans="1:28" ht="22.5" customHeight="1" x14ac:dyDescent="0.3">
      <c r="A72" s="7" t="str" cm="1">
        <f t="array" ref="A72">_xlfn.XLOOKUP(P_FACT[[#This Row],[PROJECT ID]],Table3[PROJECT ID],Sheet1!$D$2:$D$142)</f>
        <v>شركة المقاولون العرب التنزانية</v>
      </c>
      <c r="B72" s="5">
        <v>1048</v>
      </c>
      <c r="C72" s="5" t="s">
        <v>90</v>
      </c>
      <c r="D72" s="6">
        <v>46234</v>
      </c>
      <c r="E72" s="5" t="s">
        <v>140</v>
      </c>
      <c r="F72" s="10" t="s">
        <v>225</v>
      </c>
      <c r="G72" s="5">
        <v>69000</v>
      </c>
      <c r="H72" s="5">
        <v>69000</v>
      </c>
      <c r="I72" s="4">
        <f>P_FACT[[#This Row],[منفذ شامل مستخلص داخلى
(B)]]/P_FACT[[#This Row],[اجمالى القيمة التعاقدية
(A)]]</f>
        <v>1</v>
      </c>
      <c r="J72" s="5">
        <v>69000</v>
      </c>
      <c r="K72" s="4">
        <f>P_FACT[[#This Row],[منفذ معتمد
(C)]]/P_FACT[[#This Row],[اجمالى القيمة التعاقدية
(A)]]</f>
        <v>1</v>
      </c>
      <c r="L72" s="5">
        <v>69000</v>
      </c>
      <c r="M72" s="4">
        <f>IF(P_FACT[[#This Row],[منفذ معتمد
(C)]]&gt;0,P_FACT[[#This Row],[اعمال مسدده
(D)]]/P_FACT[[#This Row],[منفذ معتمد
(C)]],0)</f>
        <v>1</v>
      </c>
      <c r="N72" s="5">
        <v>69000</v>
      </c>
      <c r="O72" s="4">
        <f>IF(P_FACT[[#This Row],[منفذ معتمد
(C)]]&gt;0,P_FACT[[#This Row],[سيولة محصلة
(F)]]/P_FACT[[#This Row],[منفذ معتمد
(C)]],0)</f>
        <v>1</v>
      </c>
      <c r="P72" s="5">
        <v>0</v>
      </c>
      <c r="Q72" s="4">
        <f>IF(P_FACT[[#This Row],[منفذ شامل مستخلص داخلى
(B)]]&gt;0,P_FACT[[#This Row],[الاعمال القابلة للصرف
(H)]]/P_FACT[[#This Row],[منفذ شامل مستخلص داخلى
(B)]],0)</f>
        <v>0</v>
      </c>
      <c r="R72" s="5">
        <v>0</v>
      </c>
      <c r="S72" s="4">
        <f>IF(P_FACT[[#This Row],[منفذ معتمد
(C)]]&gt;0,P_FACT[[#This Row],[غير قابلة للصرف
(G)]]/P_FACT[[#This Row],[منفذ معتمد
(C)]],0)</f>
        <v>0</v>
      </c>
      <c r="T72" s="5">
        <v>50849.79</v>
      </c>
      <c r="U72" s="4">
        <f>IF(P_FACT[[#This Row],[منفذ معتمد
(C)]]&gt;0,P_FACT[[#This Row],[الربحية
(I)]]/P_FACT[[#This Row],[منفذ معتمد
(C)]],0)</f>
        <v>0.73695347826086954</v>
      </c>
      <c r="V72" s="5">
        <v>8354.9699999999993</v>
      </c>
      <c r="W72" s="4">
        <f>IF(P_FACT[[#This Row],[منفذ معتمد
(C)]]&gt;0,P_FACT[[#This Row],[الاجور
(J)]]/P_FACT[[#This Row],[منفذ معتمد
(C)]],0)</f>
        <v>0.12108652173913043</v>
      </c>
      <c r="X72" s="6">
        <v>45573</v>
      </c>
      <c r="Y72" s="6">
        <v>45618</v>
      </c>
      <c r="Z72" s="2">
        <f>P_FACT[[#This Row],[تاريخ نهو المشروع المعدل شامل مد مدة الزمنى]]-P_FACT[[#This Row],[تاريخ بدء المشروع التعاقدى]]</f>
        <v>45</v>
      </c>
      <c r="AA72" s="2">
        <f>P_FACT[[#This Row],[تاريخ نهو المشروع المعدل شامل مد مدة الزمنى]]-P_FACT[[#This Row],[تاريخ تحديث البيان]]</f>
        <v>-616</v>
      </c>
      <c r="AB72" s="3">
        <f>(P_FACT[[#This Row],[اجمالى المدة الزمنية المعتمدة]]-P_FACT[[#This Row],[المدة المنقضبة]])/P_FACT[[#This Row],[اجمالى المدة الزمنية المعتمدة]]</f>
        <v>14.688888888888888</v>
      </c>
    </row>
    <row r="73" spans="1:28" ht="22.5" customHeight="1" x14ac:dyDescent="0.3">
      <c r="A73" s="8" t="str" cm="1">
        <f t="array" ref="A73">_xlfn.XLOOKUP(P_FACT[[#This Row],[PROJECT ID]],Table3[PROJECT ID],Sheet1!$D$2:$D$142)</f>
        <v>شركة المقاولون العرب التنزانية</v>
      </c>
      <c r="B73" s="5">
        <v>1046</v>
      </c>
      <c r="C73" s="5" t="s">
        <v>90</v>
      </c>
      <c r="D73" s="6">
        <v>46234</v>
      </c>
      <c r="E73" s="5" t="s">
        <v>92</v>
      </c>
      <c r="F73" s="10" t="s">
        <v>225</v>
      </c>
      <c r="G73" s="5">
        <v>2666452</v>
      </c>
      <c r="H73" s="5">
        <v>2666452</v>
      </c>
      <c r="I73" s="4">
        <f>P_FACT[[#This Row],[منفذ شامل مستخلص داخلى
(B)]]/P_FACT[[#This Row],[اجمالى القيمة التعاقدية
(A)]]</f>
        <v>1</v>
      </c>
      <c r="J73" s="5">
        <v>2666452</v>
      </c>
      <c r="K73" s="4">
        <f>P_FACT[[#This Row],[منفذ معتمد
(C)]]/P_FACT[[#This Row],[اجمالى القيمة التعاقدية
(A)]]</f>
        <v>1</v>
      </c>
      <c r="L73" s="5">
        <v>2666452</v>
      </c>
      <c r="M73" s="4">
        <f>IF(P_FACT[[#This Row],[منفذ معتمد
(C)]]&gt;0,P_FACT[[#This Row],[اعمال مسدده
(D)]]/P_FACT[[#This Row],[منفذ معتمد
(C)]],0)</f>
        <v>1</v>
      </c>
      <c r="N73" s="5">
        <v>2666452</v>
      </c>
      <c r="O73" s="4">
        <f>IF(P_FACT[[#This Row],[منفذ معتمد
(C)]]&gt;0,P_FACT[[#This Row],[سيولة محصلة
(F)]]/P_FACT[[#This Row],[منفذ معتمد
(C)]],0)</f>
        <v>1</v>
      </c>
      <c r="P73" s="5">
        <v>0</v>
      </c>
      <c r="Q73" s="4">
        <f>IF(P_FACT[[#This Row],[منفذ شامل مستخلص داخلى
(B)]]&gt;0,P_FACT[[#This Row],[الاعمال القابلة للصرف
(H)]]/P_FACT[[#This Row],[منفذ شامل مستخلص داخلى
(B)]],0)</f>
        <v>0</v>
      </c>
      <c r="R73" s="5">
        <v>0</v>
      </c>
      <c r="S73" s="4">
        <f>IF(P_FACT[[#This Row],[منفذ معتمد
(C)]]&gt;0,P_FACT[[#This Row],[غير قابلة للصرف
(G)]]/P_FACT[[#This Row],[منفذ معتمد
(C)]],0)</f>
        <v>0</v>
      </c>
      <c r="T73" s="5">
        <v>1006836.76</v>
      </c>
      <c r="U73" s="4">
        <f>IF(P_FACT[[#This Row],[منفذ معتمد
(C)]]&gt;0,P_FACT[[#This Row],[الربحية
(I)]]/P_FACT[[#This Row],[منفذ معتمد
(C)]],0)</f>
        <v>0.37759418133159722</v>
      </c>
      <c r="V73" s="5">
        <v>853361</v>
      </c>
      <c r="W73" s="4">
        <f>IF(P_FACT[[#This Row],[منفذ معتمد
(C)]]&gt;0,P_FACT[[#This Row],[الاجور
(J)]]/P_FACT[[#This Row],[منفذ معتمد
(C)]],0)</f>
        <v>0.32003613790910168</v>
      </c>
      <c r="X73" s="6">
        <v>44837</v>
      </c>
      <c r="Y73" s="6">
        <v>45657</v>
      </c>
      <c r="Z73" s="2">
        <f>P_FACT[[#This Row],[تاريخ نهو المشروع المعدل شامل مد مدة الزمنى]]-P_FACT[[#This Row],[تاريخ بدء المشروع التعاقدى]]</f>
        <v>820</v>
      </c>
      <c r="AA73" s="2">
        <f>P_FACT[[#This Row],[تاريخ نهو المشروع المعدل شامل مد مدة الزمنى]]-P_FACT[[#This Row],[تاريخ تحديث البيان]]</f>
        <v>-577</v>
      </c>
      <c r="AB73" s="3">
        <f>(P_FACT[[#This Row],[اجمالى المدة الزمنية المعتمدة]]-P_FACT[[#This Row],[المدة المنقضبة]])/P_FACT[[#This Row],[اجمالى المدة الزمنية المعتمدة]]</f>
        <v>1.7036585365853658</v>
      </c>
    </row>
    <row r="74" spans="1:28" ht="22.5" customHeight="1" x14ac:dyDescent="0.3">
      <c r="A74" s="7" t="str" cm="1">
        <f t="array" ref="A74">_xlfn.XLOOKUP(P_FACT[[#This Row],[PROJECT ID]],Table3[PROJECT ID],Sheet1!$D$2:$D$142)</f>
        <v>شركة المقاولون العرب التنزانية</v>
      </c>
      <c r="B74" s="5">
        <v>1047</v>
      </c>
      <c r="C74" s="5" t="s">
        <v>90</v>
      </c>
      <c r="D74" s="6">
        <v>46234</v>
      </c>
      <c r="E74" s="5" t="s">
        <v>93</v>
      </c>
      <c r="F74" s="10" t="s">
        <v>225</v>
      </c>
      <c r="G74" s="5">
        <v>830640</v>
      </c>
      <c r="H74" s="5">
        <v>830640</v>
      </c>
      <c r="I74" s="4">
        <f>P_FACT[[#This Row],[منفذ شامل مستخلص داخلى
(B)]]/P_FACT[[#This Row],[اجمالى القيمة التعاقدية
(A)]]</f>
        <v>1</v>
      </c>
      <c r="J74" s="5">
        <v>830640</v>
      </c>
      <c r="K74" s="4">
        <f>P_FACT[[#This Row],[منفذ معتمد
(C)]]/P_FACT[[#This Row],[اجمالى القيمة التعاقدية
(A)]]</f>
        <v>1</v>
      </c>
      <c r="L74" s="5">
        <v>830640</v>
      </c>
      <c r="M74" s="4">
        <f>IF(P_FACT[[#This Row],[منفذ معتمد
(C)]]&gt;0,P_FACT[[#This Row],[اعمال مسدده
(D)]]/P_FACT[[#This Row],[منفذ معتمد
(C)]],0)</f>
        <v>1</v>
      </c>
      <c r="N74" s="5">
        <v>830640</v>
      </c>
      <c r="O74" s="4">
        <f>IF(P_FACT[[#This Row],[منفذ معتمد
(C)]]&gt;0,P_FACT[[#This Row],[سيولة محصلة
(F)]]/P_FACT[[#This Row],[منفذ معتمد
(C)]],0)</f>
        <v>1</v>
      </c>
      <c r="P74" s="5">
        <v>0</v>
      </c>
      <c r="Q74" s="4">
        <f>IF(P_FACT[[#This Row],[منفذ شامل مستخلص داخلى
(B)]]&gt;0,P_FACT[[#This Row],[الاعمال القابلة للصرف
(H)]]/P_FACT[[#This Row],[منفذ شامل مستخلص داخلى
(B)]],0)</f>
        <v>0</v>
      </c>
      <c r="R74" s="5">
        <v>0</v>
      </c>
      <c r="S74" s="4">
        <f>IF(P_FACT[[#This Row],[منفذ معتمد
(C)]]&gt;0,P_FACT[[#This Row],[غير قابلة للصرف
(G)]]/P_FACT[[#This Row],[منفذ معتمد
(C)]],0)</f>
        <v>0</v>
      </c>
      <c r="T74" s="5">
        <v>597226</v>
      </c>
      <c r="U74" s="4">
        <f>IF(P_FACT[[#This Row],[منفذ معتمد
(C)]]&gt;0,P_FACT[[#This Row],[الربحية
(I)]]/P_FACT[[#This Row],[منفذ معتمد
(C)]],0)</f>
        <v>0.71899499181354132</v>
      </c>
      <c r="V74" s="5">
        <v>44216</v>
      </c>
      <c r="W74" s="4">
        <f>IF(P_FACT[[#This Row],[منفذ معتمد
(C)]]&gt;0,P_FACT[[#This Row],[الاجور
(J)]]/P_FACT[[#This Row],[منفذ معتمد
(C)]],0)</f>
        <v>5.3231243378599635E-2</v>
      </c>
      <c r="X74" s="6">
        <v>45043</v>
      </c>
      <c r="Y74" s="6">
        <v>45535</v>
      </c>
      <c r="Z74" s="2">
        <f>P_FACT[[#This Row],[تاريخ نهو المشروع المعدل شامل مد مدة الزمنى]]-P_FACT[[#This Row],[تاريخ بدء المشروع التعاقدى]]</f>
        <v>492</v>
      </c>
      <c r="AA74" s="2">
        <f>P_FACT[[#This Row],[تاريخ نهو المشروع المعدل شامل مد مدة الزمنى]]-P_FACT[[#This Row],[تاريخ تحديث البيان]]</f>
        <v>-699</v>
      </c>
      <c r="AB74" s="3">
        <f>(P_FACT[[#This Row],[اجمالى المدة الزمنية المعتمدة]]-P_FACT[[#This Row],[المدة المنقضبة]])/P_FACT[[#This Row],[اجمالى المدة الزمنية المعتمدة]]</f>
        <v>2.4207317073170733</v>
      </c>
    </row>
    <row r="75" spans="1:28" ht="22.5" customHeight="1" x14ac:dyDescent="0.3">
      <c r="A75" s="8" t="str" cm="1">
        <f t="array" ref="A75">_xlfn.XLOOKUP(P_FACT[[#This Row],[PROJECT ID]],Table3[PROJECT ID],Sheet1!$D$2:$D$142)</f>
        <v>شركة المقاولون العرب التنزانية</v>
      </c>
      <c r="B75" s="5">
        <v>1049</v>
      </c>
      <c r="C75" s="5" t="s">
        <v>90</v>
      </c>
      <c r="D75" s="6">
        <v>46234</v>
      </c>
      <c r="E75" s="5" t="s">
        <v>146</v>
      </c>
      <c r="F75" s="10" t="s">
        <v>225</v>
      </c>
      <c r="G75" s="5">
        <v>270000</v>
      </c>
      <c r="H75" s="5">
        <v>270000</v>
      </c>
      <c r="I75" s="4">
        <f>P_FACT[[#This Row],[منفذ شامل مستخلص داخلى
(B)]]/P_FACT[[#This Row],[اجمالى القيمة التعاقدية
(A)]]</f>
        <v>1</v>
      </c>
      <c r="J75" s="5">
        <v>270000</v>
      </c>
      <c r="K75" s="4">
        <f>P_FACT[[#This Row],[منفذ معتمد
(C)]]/P_FACT[[#This Row],[اجمالى القيمة التعاقدية
(A)]]</f>
        <v>1</v>
      </c>
      <c r="L75" s="5">
        <v>270000</v>
      </c>
      <c r="M75" s="4">
        <f>IF(P_FACT[[#This Row],[منفذ معتمد
(C)]]&gt;0,P_FACT[[#This Row],[اعمال مسدده
(D)]]/P_FACT[[#This Row],[منفذ معتمد
(C)]],0)</f>
        <v>1</v>
      </c>
      <c r="N75" s="5">
        <v>270000</v>
      </c>
      <c r="O75" s="4">
        <f>IF(P_FACT[[#This Row],[منفذ معتمد
(C)]]&gt;0,P_FACT[[#This Row],[سيولة محصلة
(F)]]/P_FACT[[#This Row],[منفذ معتمد
(C)]],0)</f>
        <v>1</v>
      </c>
      <c r="P75" s="5">
        <v>0</v>
      </c>
      <c r="Q75" s="4">
        <f>IF(P_FACT[[#This Row],[منفذ شامل مستخلص داخلى
(B)]]&gt;0,P_FACT[[#This Row],[الاعمال القابلة للصرف
(H)]]/P_FACT[[#This Row],[منفذ شامل مستخلص داخلى
(B)]],0)</f>
        <v>0</v>
      </c>
      <c r="R75" s="5">
        <v>0</v>
      </c>
      <c r="S75" s="4">
        <f>IF(P_FACT[[#This Row],[منفذ معتمد
(C)]]&gt;0,P_FACT[[#This Row],[غير قابلة للصرف
(G)]]/P_FACT[[#This Row],[منفذ معتمد
(C)]],0)</f>
        <v>0</v>
      </c>
      <c r="T75" s="5">
        <v>209171.58</v>
      </c>
      <c r="U75" s="4">
        <f>IF(P_FACT[[#This Row],[منفذ معتمد
(C)]]&gt;0,P_FACT[[#This Row],[الربحية
(I)]]/P_FACT[[#This Row],[منفذ معتمد
(C)]],0)</f>
        <v>0.77470955555555554</v>
      </c>
      <c r="V75" s="5">
        <v>43757.61</v>
      </c>
      <c r="W75" s="4">
        <f>IF(P_FACT[[#This Row],[منفذ معتمد
(C)]]&gt;0,P_FACT[[#This Row],[الاجور
(J)]]/P_FACT[[#This Row],[منفذ معتمد
(C)]],0)</f>
        <v>0.16206522222222222</v>
      </c>
      <c r="X75" s="6">
        <v>45585</v>
      </c>
      <c r="Y75" s="6">
        <v>45646</v>
      </c>
      <c r="Z75" s="2">
        <f>P_FACT[[#This Row],[تاريخ نهو المشروع المعدل شامل مد مدة الزمنى]]-P_FACT[[#This Row],[تاريخ بدء المشروع التعاقدى]]</f>
        <v>61</v>
      </c>
      <c r="AA75" s="2">
        <f>P_FACT[[#This Row],[تاريخ نهو المشروع المعدل شامل مد مدة الزمنى]]-P_FACT[[#This Row],[تاريخ تحديث البيان]]</f>
        <v>-588</v>
      </c>
      <c r="AB75" s="3">
        <f>(P_FACT[[#This Row],[اجمالى المدة الزمنية المعتمدة]]-P_FACT[[#This Row],[المدة المنقضبة]])/P_FACT[[#This Row],[اجمالى المدة الزمنية المعتمدة]]</f>
        <v>10.639344262295081</v>
      </c>
    </row>
    <row r="76" spans="1:28" ht="22.5" customHeight="1" x14ac:dyDescent="0.3">
      <c r="A76" s="7" t="str" cm="1">
        <f t="array" ref="A76">_xlfn.XLOOKUP(P_FACT[[#This Row],[PROJECT ID]],Table3[PROJECT ID],Sheet1!$D$2:$D$142)</f>
        <v>شركة المقاولون العرب التنزانية</v>
      </c>
      <c r="B76" s="5">
        <v>1043</v>
      </c>
      <c r="C76" s="5" t="s">
        <v>90</v>
      </c>
      <c r="D76" s="6">
        <v>46234</v>
      </c>
      <c r="E76" s="5" t="s">
        <v>94</v>
      </c>
      <c r="F76" s="10" t="s">
        <v>227</v>
      </c>
      <c r="G76" s="5">
        <v>466902</v>
      </c>
      <c r="H76" s="5">
        <v>466902</v>
      </c>
      <c r="I76" s="4">
        <f>P_FACT[[#This Row],[منفذ شامل مستخلص داخلى
(B)]]/P_FACT[[#This Row],[اجمالى القيمة التعاقدية
(A)]]</f>
        <v>1</v>
      </c>
      <c r="J76" s="5">
        <v>466902</v>
      </c>
      <c r="K76" s="4">
        <f>P_FACT[[#This Row],[منفذ معتمد
(C)]]/P_FACT[[#This Row],[اجمالى القيمة التعاقدية
(A)]]</f>
        <v>1</v>
      </c>
      <c r="L76" s="5">
        <v>466902</v>
      </c>
      <c r="M76" s="4">
        <f>IF(P_FACT[[#This Row],[منفذ معتمد
(C)]]&gt;0,P_FACT[[#This Row],[اعمال مسدده
(D)]]/P_FACT[[#This Row],[منفذ معتمد
(C)]],0)</f>
        <v>1</v>
      </c>
      <c r="N76" s="5">
        <v>466902</v>
      </c>
      <c r="O76" s="4">
        <f>IF(P_FACT[[#This Row],[منفذ معتمد
(C)]]&gt;0,P_FACT[[#This Row],[سيولة محصلة
(F)]]/P_FACT[[#This Row],[منفذ معتمد
(C)]],0)</f>
        <v>1</v>
      </c>
      <c r="P76" s="5">
        <v>0</v>
      </c>
      <c r="Q76" s="4">
        <f>IF(P_FACT[[#This Row],[منفذ شامل مستخلص داخلى
(B)]]&gt;0,P_FACT[[#This Row],[الاعمال القابلة للصرف
(H)]]/P_FACT[[#This Row],[منفذ شامل مستخلص داخلى
(B)]],0)</f>
        <v>0</v>
      </c>
      <c r="R76" s="5">
        <v>0</v>
      </c>
      <c r="S76" s="4">
        <f>IF(P_FACT[[#This Row],[منفذ معتمد
(C)]]&gt;0,P_FACT[[#This Row],[غير قابلة للصرف
(G)]]/P_FACT[[#This Row],[منفذ معتمد
(C)]],0)</f>
        <v>0</v>
      </c>
      <c r="T76" s="5">
        <v>377039</v>
      </c>
      <c r="U76" s="4">
        <f>IF(P_FACT[[#This Row],[منفذ معتمد
(C)]]&gt;0,P_FACT[[#This Row],[الربحية
(I)]]/P_FACT[[#This Row],[منفذ معتمد
(C)]],0)</f>
        <v>0.80753348668457192</v>
      </c>
      <c r="V76" s="5">
        <v>62558</v>
      </c>
      <c r="W76" s="4">
        <f>IF(P_FACT[[#This Row],[منفذ معتمد
(C)]]&gt;0,P_FACT[[#This Row],[الاجور
(J)]]/P_FACT[[#This Row],[منفذ معتمد
(C)]],0)</f>
        <v>0.13398529027504702</v>
      </c>
      <c r="X76" s="6">
        <v>45450</v>
      </c>
      <c r="Y76" s="6">
        <v>45540</v>
      </c>
      <c r="Z76" s="2">
        <f>P_FACT[[#This Row],[تاريخ نهو المشروع المعدل شامل مد مدة الزمنى]]-P_FACT[[#This Row],[تاريخ بدء المشروع التعاقدى]]</f>
        <v>90</v>
      </c>
      <c r="AA76" s="2">
        <f>P_FACT[[#This Row],[تاريخ نهو المشروع المعدل شامل مد مدة الزمنى]]-P_FACT[[#This Row],[تاريخ تحديث البيان]]</f>
        <v>-694</v>
      </c>
      <c r="AB76" s="3">
        <f>(P_FACT[[#This Row],[اجمالى المدة الزمنية المعتمدة]]-P_FACT[[#This Row],[المدة المنقضبة]])/P_FACT[[#This Row],[اجمالى المدة الزمنية المعتمدة]]</f>
        <v>8.7111111111111104</v>
      </c>
    </row>
    <row r="77" spans="1:28" ht="22.5" customHeight="1" x14ac:dyDescent="0.3">
      <c r="A77" s="8" t="str" cm="1">
        <f t="array" ref="A77">_xlfn.XLOOKUP(P_FACT[[#This Row],[PROJECT ID]],Table3[PROJECT ID],Sheet1!$D$2:$D$142)</f>
        <v>شركة المقاولون العرب التنزانية</v>
      </c>
      <c r="B77" s="5">
        <v>1044</v>
      </c>
      <c r="C77" s="5" t="s">
        <v>90</v>
      </c>
      <c r="D77" s="6">
        <v>46234</v>
      </c>
      <c r="E77" s="5" t="s">
        <v>95</v>
      </c>
      <c r="F77" s="10" t="s">
        <v>227</v>
      </c>
      <c r="G77" s="5">
        <v>450000</v>
      </c>
      <c r="H77" s="5">
        <v>450000</v>
      </c>
      <c r="I77" s="4">
        <f>P_FACT[[#This Row],[منفذ شامل مستخلص داخلى
(B)]]/P_FACT[[#This Row],[اجمالى القيمة التعاقدية
(A)]]</f>
        <v>1</v>
      </c>
      <c r="J77" s="5">
        <v>450000</v>
      </c>
      <c r="K77" s="4">
        <f>P_FACT[[#This Row],[منفذ معتمد
(C)]]/P_FACT[[#This Row],[اجمالى القيمة التعاقدية
(A)]]</f>
        <v>1</v>
      </c>
      <c r="L77" s="5">
        <v>450000</v>
      </c>
      <c r="M77" s="4">
        <f>IF(P_FACT[[#This Row],[منفذ معتمد
(C)]]&gt;0,P_FACT[[#This Row],[اعمال مسدده
(D)]]/P_FACT[[#This Row],[منفذ معتمد
(C)]],0)</f>
        <v>1</v>
      </c>
      <c r="N77" s="5">
        <v>450000</v>
      </c>
      <c r="O77" s="4">
        <f>IF(P_FACT[[#This Row],[منفذ معتمد
(C)]]&gt;0,P_FACT[[#This Row],[سيولة محصلة
(F)]]/P_FACT[[#This Row],[منفذ معتمد
(C)]],0)</f>
        <v>1</v>
      </c>
      <c r="P77" s="5">
        <v>0</v>
      </c>
      <c r="Q77" s="4">
        <f>IF(P_FACT[[#This Row],[منفذ شامل مستخلص داخلى
(B)]]&gt;0,P_FACT[[#This Row],[الاعمال القابلة للصرف
(H)]]/P_FACT[[#This Row],[منفذ شامل مستخلص داخلى
(B)]],0)</f>
        <v>0</v>
      </c>
      <c r="R77" s="5">
        <v>0</v>
      </c>
      <c r="S77" s="4">
        <f>IF(P_FACT[[#This Row],[منفذ معتمد
(C)]]&gt;0,P_FACT[[#This Row],[غير قابلة للصرف
(G)]]/P_FACT[[#This Row],[منفذ معتمد
(C)]],0)</f>
        <v>0</v>
      </c>
      <c r="T77" s="5">
        <v>321840</v>
      </c>
      <c r="U77" s="4">
        <f>IF(P_FACT[[#This Row],[منفذ معتمد
(C)]]&gt;0,P_FACT[[#This Row],[الربحية
(I)]]/P_FACT[[#This Row],[منفذ معتمد
(C)]],0)</f>
        <v>0.71519999999999995</v>
      </c>
      <c r="V77" s="5">
        <v>28596</v>
      </c>
      <c r="W77" s="4">
        <f>IF(P_FACT[[#This Row],[منفذ معتمد
(C)]]&gt;0,P_FACT[[#This Row],[الاجور
(J)]]/P_FACT[[#This Row],[منفذ معتمد
(C)]],0)</f>
        <v>6.3546666666666668E-2</v>
      </c>
      <c r="X77" s="6">
        <v>45451</v>
      </c>
      <c r="Y77" s="6">
        <v>45662</v>
      </c>
      <c r="Z77" s="2">
        <f>P_FACT[[#This Row],[تاريخ نهو المشروع المعدل شامل مد مدة الزمنى]]-P_FACT[[#This Row],[تاريخ بدء المشروع التعاقدى]]</f>
        <v>211</v>
      </c>
      <c r="AA77" s="2">
        <f>P_FACT[[#This Row],[تاريخ نهو المشروع المعدل شامل مد مدة الزمنى]]-P_FACT[[#This Row],[تاريخ تحديث البيان]]</f>
        <v>-572</v>
      </c>
      <c r="AB77" s="3">
        <f>(P_FACT[[#This Row],[اجمالى المدة الزمنية المعتمدة]]-P_FACT[[#This Row],[المدة المنقضبة]])/P_FACT[[#This Row],[اجمالى المدة الزمنية المعتمدة]]</f>
        <v>3.7109004739336493</v>
      </c>
    </row>
    <row r="78" spans="1:28" ht="22.5" customHeight="1" x14ac:dyDescent="0.3">
      <c r="A78" s="7" t="str" cm="1">
        <f t="array" ref="A78">_xlfn.XLOOKUP(P_FACT[[#This Row],[PROJECT ID]],Table3[PROJECT ID],Sheet1!$D$2:$D$142)</f>
        <v>شركة المقاولون العرب المغربية</v>
      </c>
      <c r="B78" s="5">
        <v>1110</v>
      </c>
      <c r="C78" s="5" t="s">
        <v>18</v>
      </c>
      <c r="D78" s="6">
        <v>46234</v>
      </c>
      <c r="E78" s="5" t="s">
        <v>164</v>
      </c>
      <c r="F78" s="10" t="s">
        <v>165</v>
      </c>
      <c r="G78" s="5">
        <v>2895000</v>
      </c>
      <c r="H78" s="5">
        <v>2613902.1660000002</v>
      </c>
      <c r="I78" s="4">
        <f>P_FACT[[#This Row],[منفذ شامل مستخلص داخلى
(B)]]/P_FACT[[#This Row],[اجمالى القيمة التعاقدية
(A)]]</f>
        <v>0.90290230259067361</v>
      </c>
      <c r="J78" s="5">
        <v>2363902.1660000002</v>
      </c>
      <c r="K78" s="4">
        <f>P_FACT[[#This Row],[منفذ معتمد
(C)]]/P_FACT[[#This Row],[اجمالى القيمة التعاقدية
(A)]]</f>
        <v>0.81654651675302248</v>
      </c>
      <c r="L78" s="5">
        <v>2278902.1</v>
      </c>
      <c r="M78" s="4">
        <f>IF(P_FACT[[#This Row],[منفذ معتمد
(C)]]&gt;0,P_FACT[[#This Row],[اعمال مسدده
(D)]]/P_FACT[[#This Row],[منفذ معتمد
(C)]],0)</f>
        <v>0.96404247721307768</v>
      </c>
      <c r="N78" s="5">
        <v>2278902.1</v>
      </c>
      <c r="O78" s="4">
        <f>IF(P_FACT[[#This Row],[منفذ معتمد
(C)]]&gt;0,P_FACT[[#This Row],[سيولة محصلة
(F)]]/P_FACT[[#This Row],[منفذ معتمد
(C)]],0)</f>
        <v>0.96404247721307768</v>
      </c>
      <c r="P78" s="5">
        <v>85000.066000000006</v>
      </c>
      <c r="Q78" s="4">
        <f>IF(P_FACT[[#This Row],[منفذ شامل مستخلص داخلى
(B)]]&gt;0,P_FACT[[#This Row],[الاعمال القابلة للصرف
(H)]]/P_FACT[[#This Row],[منفذ شامل مستخلص داخلى
(B)]],0)</f>
        <v>3.2518457310922934E-2</v>
      </c>
      <c r="R78" s="5">
        <v>250000</v>
      </c>
      <c r="S78" s="4">
        <f>IF(P_FACT[[#This Row],[منفذ معتمد
(C)]]&gt;0,P_FACT[[#This Row],[غير قابلة للصرف
(G)]]/P_FACT[[#This Row],[منفذ معتمد
(C)]],0)</f>
        <v>0.10575733784407386</v>
      </c>
      <c r="T78" s="5">
        <v>102910.7</v>
      </c>
      <c r="U78" s="4">
        <f>IF(P_FACT[[#This Row],[منفذ معتمد
(C)]]&gt;0,P_FACT[[#This Row],[الربحية
(I)]]/P_FACT[[#This Row],[منفذ معتمد
(C)]],0)</f>
        <v>4.3534246670680531E-2</v>
      </c>
      <c r="V78" s="5">
        <v>477323.5</v>
      </c>
      <c r="W78" s="4">
        <f>IF(P_FACT[[#This Row],[منفذ معتمد
(C)]]&gt;0,P_FACT[[#This Row],[الاجور
(J)]]/P_FACT[[#This Row],[منفذ معتمد
(C)]],0)</f>
        <v>0.20192185060166318</v>
      </c>
      <c r="X78" s="6">
        <v>45726</v>
      </c>
      <c r="Y78" s="6">
        <v>46295</v>
      </c>
      <c r="Z78" s="2">
        <f>P_FACT[[#This Row],[تاريخ نهو المشروع المعدل شامل مد مدة الزمنى]]-P_FACT[[#This Row],[تاريخ بدء المشروع التعاقدى]]</f>
        <v>569</v>
      </c>
      <c r="AA78" s="2">
        <f>P_FACT[[#This Row],[تاريخ نهو المشروع المعدل شامل مد مدة الزمنى]]-P_FACT[[#This Row],[تاريخ تحديث البيان]]</f>
        <v>61</v>
      </c>
      <c r="AB78" s="3">
        <f>(P_FACT[[#This Row],[اجمالى المدة الزمنية المعتمدة]]-P_FACT[[#This Row],[المدة المنقضبة]])/P_FACT[[#This Row],[اجمالى المدة الزمنية المعتمدة]]</f>
        <v>0.89279437609841827</v>
      </c>
    </row>
    <row r="79" spans="1:28" ht="22.5" customHeight="1" x14ac:dyDescent="0.3">
      <c r="A79" s="8" t="str" cm="1">
        <f t="array" ref="A79">_xlfn.XLOOKUP(P_FACT[[#This Row],[PROJECT ID]],Table3[PROJECT ID],Sheet1!$D$2:$D$142)</f>
        <v>شركة المقاولون العرب دبى</v>
      </c>
      <c r="B79" s="5">
        <v>1052</v>
      </c>
      <c r="C79" s="5" t="s">
        <v>13</v>
      </c>
      <c r="D79" s="6">
        <v>46234</v>
      </c>
      <c r="E79" s="5" t="s">
        <v>14</v>
      </c>
      <c r="F79" s="10" t="s">
        <v>15</v>
      </c>
      <c r="G79" s="5">
        <v>7705769.7547683921</v>
      </c>
      <c r="H79" s="5">
        <v>5772436.7847411446</v>
      </c>
      <c r="I79" s="4">
        <f>P_FACT[[#This Row],[منفذ شامل مستخلص داخلى
(B)]]/P_FACT[[#This Row],[اجمالى القيمة التعاقدية
(A)]]</f>
        <v>0.74910579584461556</v>
      </c>
      <c r="J79" s="5">
        <v>5772436.7847411446</v>
      </c>
      <c r="K79" s="4">
        <f>P_FACT[[#This Row],[منفذ معتمد
(C)]]/P_FACT[[#This Row],[اجمالى القيمة التعاقدية
(A)]]</f>
        <v>0.74910579584461556</v>
      </c>
      <c r="L79" s="5">
        <v>5099220.9482288826</v>
      </c>
      <c r="M79" s="4">
        <f>IF(P_FACT[[#This Row],[منفذ معتمد
(C)]]&gt;0,P_FACT[[#This Row],[اعمال مسدده
(D)]]/P_FACT[[#This Row],[منفذ معتمد
(C)]],0)</f>
        <v>0.88337406512760086</v>
      </c>
      <c r="N79" s="5">
        <v>5791949.0463215262</v>
      </c>
      <c r="O79" s="4">
        <f>IF(P_FACT[[#This Row],[منفذ معتمد
(C)]]&gt;0,P_FACT[[#This Row],[سيولة محصلة
(F)]]/P_FACT[[#This Row],[منفذ معتمد
(C)]],0)</f>
        <v>1.0033802469057713</v>
      </c>
      <c r="P79" s="5">
        <v>673215.83651226165</v>
      </c>
      <c r="Q79" s="4">
        <f>IF(P_FACT[[#This Row],[منفذ شامل مستخلص داخلى
(B)]]&gt;0,P_FACT[[#This Row],[الاعمال القابلة للصرف
(H)]]/P_FACT[[#This Row],[منفذ شامل مستخلص داخلى
(B)]],0)</f>
        <v>0.11662593487239911</v>
      </c>
      <c r="R79" s="5">
        <v>0</v>
      </c>
      <c r="S79" s="4">
        <f>IF(P_FACT[[#This Row],[منفذ معتمد
(C)]]&gt;0,P_FACT[[#This Row],[غير قابلة للصرف
(G)]]/P_FACT[[#This Row],[منفذ معتمد
(C)]],0)</f>
        <v>0</v>
      </c>
      <c r="T79" s="5">
        <v>173055.31335149865</v>
      </c>
      <c r="U79" s="4">
        <f>IF(P_FACT[[#This Row],[منفذ معتمد
(C)]]&gt;0,P_FACT[[#This Row],[الربحية
(I)]]/P_FACT[[#This Row],[منفذ معتمد
(C)]],0)</f>
        <v>2.9979594373203522E-2</v>
      </c>
      <c r="V79" s="5">
        <v>576851.22615803813</v>
      </c>
      <c r="W79" s="4">
        <f>IF(P_FACT[[#This Row],[منفذ معتمد
(C)]]&gt;0,P_FACT[[#This Row],[الاجور
(J)]]/P_FACT[[#This Row],[منفذ معتمد
(C)]],0)</f>
        <v>9.9932012713051493E-2</v>
      </c>
      <c r="X79" s="6">
        <v>45653</v>
      </c>
      <c r="Y79" s="6">
        <v>46292</v>
      </c>
      <c r="Z79" s="2">
        <f>P_FACT[[#This Row],[تاريخ نهو المشروع المعدل شامل مد مدة الزمنى]]-P_FACT[[#This Row],[تاريخ بدء المشروع التعاقدى]]</f>
        <v>639</v>
      </c>
      <c r="AA79" s="2">
        <f>P_FACT[[#This Row],[تاريخ نهو المشروع المعدل شامل مد مدة الزمنى]]-P_FACT[[#This Row],[تاريخ تحديث البيان]]</f>
        <v>58</v>
      </c>
      <c r="AB79" s="3">
        <f>(P_FACT[[#This Row],[اجمالى المدة الزمنية المعتمدة]]-P_FACT[[#This Row],[المدة المنقضبة]])/P_FACT[[#This Row],[اجمالى المدة الزمنية المعتمدة]]</f>
        <v>0.90923317683881066</v>
      </c>
    </row>
    <row r="80" spans="1:28" ht="22.5" customHeight="1" x14ac:dyDescent="0.3">
      <c r="A80" s="7" t="str" cm="1">
        <f t="array" ref="A80">_xlfn.XLOOKUP(P_FACT[[#This Row],[PROJECT ID]],Table3[PROJECT ID],Sheet1!$D$2:$D$142)</f>
        <v>شركة المقاولون العرب الغانية</v>
      </c>
      <c r="B80" s="5">
        <v>1111</v>
      </c>
      <c r="C80" s="5" t="s">
        <v>168</v>
      </c>
      <c r="D80" s="6">
        <v>46234</v>
      </c>
      <c r="E80" s="5" t="s">
        <v>166</v>
      </c>
      <c r="F80" s="10" t="s">
        <v>167</v>
      </c>
      <c r="G80" s="5">
        <v>31060000</v>
      </c>
      <c r="H80" s="5">
        <v>10854545.25</v>
      </c>
      <c r="I80" s="4">
        <f>P_FACT[[#This Row],[منفذ شامل مستخلص داخلى
(B)]]/P_FACT[[#This Row],[اجمالى القيمة التعاقدية
(A)]]</f>
        <v>0.34947022698003866</v>
      </c>
      <c r="J80" s="5">
        <v>10854545.25</v>
      </c>
      <c r="K80" s="4">
        <f>P_FACT[[#This Row],[منفذ معتمد
(C)]]/P_FACT[[#This Row],[اجمالى القيمة التعاقدية
(A)]]</f>
        <v>0.34947022698003866</v>
      </c>
      <c r="L80" s="5">
        <v>10854545.25</v>
      </c>
      <c r="M80" s="4">
        <f>IF(P_FACT[[#This Row],[منفذ معتمد
(C)]]&gt;0,P_FACT[[#This Row],[اعمال مسدده
(D)]]/P_FACT[[#This Row],[منفذ معتمد
(C)]],0)</f>
        <v>1</v>
      </c>
      <c r="N80" s="5">
        <v>18767935.77</v>
      </c>
      <c r="O80" s="4">
        <f>IF(P_FACT[[#This Row],[منفذ معتمد
(C)]]&gt;0,P_FACT[[#This Row],[سيولة محصلة
(F)]]/P_FACT[[#This Row],[منفذ معتمد
(C)]],0)</f>
        <v>1.7290393413763694</v>
      </c>
      <c r="P80" s="5">
        <v>0</v>
      </c>
      <c r="Q80" s="4">
        <f>IF(P_FACT[[#This Row],[منفذ شامل مستخلص داخلى
(B)]]&gt;0,P_FACT[[#This Row],[الاعمال القابلة للصرف
(H)]]/P_FACT[[#This Row],[منفذ شامل مستخلص داخلى
(B)]],0)</f>
        <v>0</v>
      </c>
      <c r="R80" s="5">
        <v>0</v>
      </c>
      <c r="S80" s="4">
        <f>IF(P_FACT[[#This Row],[منفذ معتمد
(C)]]&gt;0,P_FACT[[#This Row],[غير قابلة للصرف
(G)]]/P_FACT[[#This Row],[منفذ معتمد
(C)]],0)</f>
        <v>0</v>
      </c>
      <c r="T80" s="5">
        <v>-120120.47</v>
      </c>
      <c r="U80" s="4">
        <f>IF(P_FACT[[#This Row],[منفذ معتمد
(C)]]&gt;0,P_FACT[[#This Row],[الربحية
(I)]]/P_FACT[[#This Row],[منفذ معتمد
(C)]],0)</f>
        <v>-1.1066375166661174E-2</v>
      </c>
      <c r="V80" s="5">
        <v>1826908.61</v>
      </c>
      <c r="W80" s="4">
        <f>IF(P_FACT[[#This Row],[منفذ معتمد
(C)]]&gt;0,P_FACT[[#This Row],[الاجور
(J)]]/P_FACT[[#This Row],[منفذ معتمد
(C)]],0)</f>
        <v>0.16830816657197131</v>
      </c>
      <c r="X80" s="6">
        <v>45664</v>
      </c>
      <c r="Y80" s="6">
        <v>46584</v>
      </c>
      <c r="Z80" s="2">
        <f>P_FACT[[#This Row],[تاريخ نهو المشروع المعدل شامل مد مدة الزمنى]]-P_FACT[[#This Row],[تاريخ بدء المشروع التعاقدى]]</f>
        <v>920</v>
      </c>
      <c r="AA80" s="2">
        <f>P_FACT[[#This Row],[تاريخ نهو المشروع المعدل شامل مد مدة الزمنى]]-P_FACT[[#This Row],[تاريخ تحديث البيان]]</f>
        <v>350</v>
      </c>
      <c r="AB80" s="3">
        <f>(P_FACT[[#This Row],[اجمالى المدة الزمنية المعتمدة]]-P_FACT[[#This Row],[المدة المنقضبة]])/P_FACT[[#This Row],[اجمالى المدة الزمنية المعتمدة]]</f>
        <v>0.61956521739130432</v>
      </c>
    </row>
    <row r="81" spans="1:28" ht="22.5" customHeight="1" x14ac:dyDescent="0.3">
      <c r="A81" s="8" t="str" cm="1">
        <f t="array" ref="A81">_xlfn.XLOOKUP(P_FACT[[#This Row],[PROJECT ID]],Table3[PROJECT ID],Sheet1!$D$2:$D$142)</f>
        <v>شركة المقاولون العرب الاوغندية</v>
      </c>
      <c r="B81" s="5">
        <v>1104</v>
      </c>
      <c r="C81" s="5" t="s">
        <v>122</v>
      </c>
      <c r="D81" s="6">
        <v>46234</v>
      </c>
      <c r="E81" s="5" t="s">
        <v>156</v>
      </c>
      <c r="F81" s="10" t="s">
        <v>157</v>
      </c>
      <c r="G81" s="5">
        <v>50100000</v>
      </c>
      <c r="H81" s="5">
        <v>24343613.390000001</v>
      </c>
      <c r="I81" s="4">
        <f>P_FACT[[#This Row],[منفذ شامل مستخلص داخلى
(B)]]/P_FACT[[#This Row],[اجمالى القيمة التعاقدية
(A)]]</f>
        <v>0.48590046686626748</v>
      </c>
      <c r="J81" s="5">
        <v>24343613.390000001</v>
      </c>
      <c r="K81" s="4">
        <f>P_FACT[[#This Row],[منفذ معتمد
(C)]]/P_FACT[[#This Row],[اجمالى القيمة التعاقدية
(A)]]</f>
        <v>0.48590046686626748</v>
      </c>
      <c r="L81" s="5">
        <v>21486735.739999998</v>
      </c>
      <c r="M81" s="4">
        <f>IF(P_FACT[[#This Row],[منفذ معتمد
(C)]]&gt;0,P_FACT[[#This Row],[اعمال مسدده
(D)]]/P_FACT[[#This Row],[منفذ معتمد
(C)]],0)</f>
        <v>0.88264364849083721</v>
      </c>
      <c r="N81" s="5">
        <v>21486735.739999998</v>
      </c>
      <c r="O81" s="4">
        <f>IF(P_FACT[[#This Row],[منفذ معتمد
(C)]]&gt;0,P_FACT[[#This Row],[سيولة محصلة
(F)]]/P_FACT[[#This Row],[منفذ معتمد
(C)]],0)</f>
        <v>0.88264364849083721</v>
      </c>
      <c r="P81" s="5">
        <v>2856877.65</v>
      </c>
      <c r="Q81" s="4">
        <f>IF(P_FACT[[#This Row],[منفذ شامل مستخلص داخلى
(B)]]&gt;0,P_FACT[[#This Row],[الاعمال القابلة للصرف
(H)]]/P_FACT[[#This Row],[منفذ شامل مستخلص داخلى
(B)]],0)</f>
        <v>0.1173563515091627</v>
      </c>
      <c r="R81" s="5">
        <v>0</v>
      </c>
      <c r="S81" s="4">
        <f>IF(P_FACT[[#This Row],[منفذ معتمد
(C)]]&gt;0,P_FACT[[#This Row],[غير قابلة للصرف
(G)]]/P_FACT[[#This Row],[منفذ معتمد
(C)]],0)</f>
        <v>0</v>
      </c>
      <c r="T81" s="5">
        <v>1648600</v>
      </c>
      <c r="U81" s="4">
        <f>IF(P_FACT[[#This Row],[منفذ معتمد
(C)]]&gt;0,P_FACT[[#This Row],[الربحية
(I)]]/P_FACT[[#This Row],[منفذ معتمد
(C)]],0)</f>
        <v>6.7722074516563785E-2</v>
      </c>
      <c r="V81" s="5">
        <v>2741898.19</v>
      </c>
      <c r="W81" s="4">
        <f>IF(P_FACT[[#This Row],[منفذ معتمد
(C)]]&gt;0,P_FACT[[#This Row],[الاجور
(J)]]/P_FACT[[#This Row],[منفذ معتمد
(C)]],0)</f>
        <v>0.11263316361762184</v>
      </c>
      <c r="X81" s="6">
        <v>45809</v>
      </c>
      <c r="Y81" s="6">
        <v>46532</v>
      </c>
      <c r="Z81" s="2">
        <f>P_FACT[[#This Row],[تاريخ نهو المشروع المعدل شامل مد مدة الزمنى]]-P_FACT[[#This Row],[تاريخ بدء المشروع التعاقدى]]</f>
        <v>723</v>
      </c>
      <c r="AA81" s="2">
        <f>P_FACT[[#This Row],[تاريخ نهو المشروع المعدل شامل مد مدة الزمنى]]-P_FACT[[#This Row],[تاريخ تحديث البيان]]</f>
        <v>298</v>
      </c>
      <c r="AB81" s="3">
        <f>(P_FACT[[#This Row],[اجمالى المدة الزمنية المعتمدة]]-P_FACT[[#This Row],[المدة المنقضبة]])/P_FACT[[#This Row],[اجمالى المدة الزمنية المعتمدة]]</f>
        <v>0.58782849239280777</v>
      </c>
    </row>
    <row r="82" spans="1:28" ht="22.5" customHeight="1" x14ac:dyDescent="0.3">
      <c r="A82" s="7" t="str" cm="1">
        <f t="array" ref="A82">_xlfn.XLOOKUP(P_FACT[[#This Row],[PROJECT ID]],Table3[PROJECT ID],Sheet1!$D$2:$D$142)</f>
        <v>شركة المقاولون العرب الاوغندية</v>
      </c>
      <c r="B82" s="5">
        <v>1125</v>
      </c>
      <c r="C82" s="5" t="s">
        <v>122</v>
      </c>
      <c r="D82" s="6">
        <v>46234</v>
      </c>
      <c r="E82" s="5" t="s">
        <v>195</v>
      </c>
      <c r="F82" s="10" t="s">
        <v>228</v>
      </c>
      <c r="G82" s="5">
        <v>125764745.12111458</v>
      </c>
      <c r="H82" s="5">
        <v>13351493.808282919</v>
      </c>
      <c r="I82" s="4">
        <f>P_FACT[[#This Row],[منفذ شامل مستخلص داخلى
(B)]]/P_FACT[[#This Row],[اجمالى القيمة التعاقدية
(A)]]</f>
        <v>0.10616245272413265</v>
      </c>
      <c r="J82" s="5">
        <v>13351493.808282919</v>
      </c>
      <c r="K82" s="4">
        <f>P_FACT[[#This Row],[منفذ معتمد
(C)]]/P_FACT[[#This Row],[اجمالى القيمة التعاقدية
(A)]]</f>
        <v>0.10616245272413265</v>
      </c>
      <c r="L82" s="5">
        <v>10332388.158076702</v>
      </c>
      <c r="M82" s="4">
        <f>IF(P_FACT[[#This Row],[منفذ معتمد
(C)]]&gt;0,P_FACT[[#This Row],[اعمال مسدده
(D)]]/P_FACT[[#This Row],[منفذ معتمد
(C)]],0)</f>
        <v>0.77387506644887605</v>
      </c>
      <c r="N82" s="5">
        <v>10332388.158076702</v>
      </c>
      <c r="O82" s="4">
        <f>IF(P_FACT[[#This Row],[منفذ معتمد
(C)]]&gt;0,P_FACT[[#This Row],[سيولة محصلة
(F)]]/P_FACT[[#This Row],[منفذ معتمد
(C)]],0)</f>
        <v>0.77387506644887605</v>
      </c>
      <c r="P82" s="5">
        <v>3019105.6502062189</v>
      </c>
      <c r="Q82" s="4">
        <f>IF(P_FACT[[#This Row],[منفذ شامل مستخلص داخلى
(B)]]&gt;0,P_FACT[[#This Row],[الاعمال القابلة للصرف
(H)]]/P_FACT[[#This Row],[منفذ شامل مستخلص داخلى
(B)]],0)</f>
        <v>0.22612493355112404</v>
      </c>
      <c r="R82" s="5">
        <v>0</v>
      </c>
      <c r="S82" s="4">
        <f>IF(P_FACT[[#This Row],[منفذ معتمد
(C)]]&gt;0,P_FACT[[#This Row],[غير قابلة للصرف
(G)]]/P_FACT[[#This Row],[منفذ معتمد
(C)]],0)</f>
        <v>0</v>
      </c>
      <c r="T82" s="5">
        <v>0</v>
      </c>
      <c r="U82" s="4">
        <f>IF(P_FACT[[#This Row],[منفذ معتمد
(C)]]&gt;0,P_FACT[[#This Row],[الربحية
(I)]]/P_FACT[[#This Row],[منفذ معتمد
(C)]],0)</f>
        <v>0</v>
      </c>
      <c r="V82" s="5">
        <v>0</v>
      </c>
      <c r="W82" s="4">
        <f>IF(P_FACT[[#This Row],[منفذ معتمد
(C)]]&gt;0,P_FACT[[#This Row],[الاجور
(J)]]/P_FACT[[#This Row],[منفذ معتمد
(C)]],0)</f>
        <v>0</v>
      </c>
      <c r="X82" s="6">
        <v>45922</v>
      </c>
      <c r="Y82" s="6">
        <v>47018</v>
      </c>
      <c r="Z82" s="2">
        <f>P_FACT[[#This Row],[تاريخ نهو المشروع المعدل شامل مد مدة الزمنى]]-P_FACT[[#This Row],[تاريخ بدء المشروع التعاقدى]]</f>
        <v>1096</v>
      </c>
      <c r="AA82" s="2">
        <f>P_FACT[[#This Row],[تاريخ نهو المشروع المعدل شامل مد مدة الزمنى]]-P_FACT[[#This Row],[تاريخ تحديث البيان]]</f>
        <v>784</v>
      </c>
      <c r="AB82" s="3">
        <f>(P_FACT[[#This Row],[اجمالى المدة الزمنية المعتمدة]]-P_FACT[[#This Row],[المدة المنقضبة]])/P_FACT[[#This Row],[اجمالى المدة الزمنية المعتمدة]]</f>
        <v>0.28467153284671531</v>
      </c>
    </row>
    <row r="83" spans="1:28" ht="22.5" customHeight="1" x14ac:dyDescent="0.3">
      <c r="A83" s="8" t="str" cm="1">
        <f t="array" ref="A83">_xlfn.XLOOKUP(P_FACT[[#This Row],[PROJECT ID]],Table3[PROJECT ID],Sheet1!$D$2:$D$142)</f>
        <v>شركة المقاولون العرب الكاميرونية</v>
      </c>
      <c r="B83" s="5">
        <v>1097</v>
      </c>
      <c r="C83" s="5" t="s">
        <v>125</v>
      </c>
      <c r="D83" s="6">
        <v>46234</v>
      </c>
      <c r="E83" s="5" t="s">
        <v>153</v>
      </c>
      <c r="F83" s="10" t="s">
        <v>229</v>
      </c>
      <c r="G83" s="5">
        <v>15225461.456666667</v>
      </c>
      <c r="H83" s="5">
        <v>3557052.4683333333</v>
      </c>
      <c r="I83" s="4">
        <f>P_FACT[[#This Row],[منفذ شامل مستخلص داخلى
(B)]]/P_FACT[[#This Row],[اجمالى القيمة التعاقدية
(A)]]</f>
        <v>0.23362526505072406</v>
      </c>
      <c r="J83" s="5">
        <v>3557052.4683333333</v>
      </c>
      <c r="K83" s="4">
        <f>P_FACT[[#This Row],[منفذ معتمد
(C)]]/P_FACT[[#This Row],[اجمالى القيمة التعاقدية
(A)]]</f>
        <v>0.23362526505072406</v>
      </c>
      <c r="L83" s="5">
        <v>2992341.99</v>
      </c>
      <c r="M83" s="4">
        <f>IF(P_FACT[[#This Row],[منفذ معتمد
(C)]]&gt;0,P_FACT[[#This Row],[اعمال مسدده
(D)]]/P_FACT[[#This Row],[منفذ معتمد
(C)]],0)</f>
        <v>0.84124201614660754</v>
      </c>
      <c r="N83" s="5">
        <v>2992341.99</v>
      </c>
      <c r="O83" s="4">
        <f>IF(P_FACT[[#This Row],[منفذ معتمد
(C)]]&gt;0,P_FACT[[#This Row],[سيولة محصلة
(F)]]/P_FACT[[#This Row],[منفذ معتمد
(C)]],0)</f>
        <v>0.84124201614660754</v>
      </c>
      <c r="P83" s="5">
        <v>564710.47833333339</v>
      </c>
      <c r="Q83" s="4">
        <f>IF(P_FACT[[#This Row],[منفذ شامل مستخلص داخلى
(B)]]&gt;0,P_FACT[[#This Row],[الاعمال القابلة للصرف
(H)]]/P_FACT[[#This Row],[منفذ شامل مستخلص داخلى
(B)]],0)</f>
        <v>0.15875798385339254</v>
      </c>
      <c r="R83" s="5">
        <v>0</v>
      </c>
      <c r="S83" s="4">
        <f>IF(P_FACT[[#This Row],[منفذ معتمد
(C)]]&gt;0,P_FACT[[#This Row],[غير قابلة للصرف
(G)]]/P_FACT[[#This Row],[منفذ معتمد
(C)]],0)</f>
        <v>0</v>
      </c>
      <c r="T83" s="5">
        <v>0</v>
      </c>
      <c r="U83" s="4">
        <f>IF(P_FACT[[#This Row],[منفذ معتمد
(C)]]&gt;0,P_FACT[[#This Row],[الربحية
(I)]]/P_FACT[[#This Row],[منفذ معتمد
(C)]],0)</f>
        <v>0</v>
      </c>
      <c r="V83" s="5">
        <v>0</v>
      </c>
      <c r="W83" s="4">
        <f>IF(P_FACT[[#This Row],[منفذ معتمد
(C)]]&gt;0,P_FACT[[#This Row],[الاجور
(J)]]/P_FACT[[#This Row],[منفذ معتمد
(C)]],0)</f>
        <v>0</v>
      </c>
      <c r="X83" s="6">
        <v>45360</v>
      </c>
      <c r="Y83" s="6">
        <v>46091</v>
      </c>
      <c r="Z83" s="2">
        <f>P_FACT[[#This Row],[تاريخ نهو المشروع المعدل شامل مد مدة الزمنى]]-P_FACT[[#This Row],[تاريخ بدء المشروع التعاقدى]]</f>
        <v>731</v>
      </c>
      <c r="AA83" s="2">
        <f>P_FACT[[#This Row],[تاريخ نهو المشروع المعدل شامل مد مدة الزمنى]]-P_FACT[[#This Row],[تاريخ تحديث البيان]]</f>
        <v>-143</v>
      </c>
      <c r="AB83" s="3">
        <f>(P_FACT[[#This Row],[اجمالى المدة الزمنية المعتمدة]]-P_FACT[[#This Row],[المدة المنقضبة]])/P_FACT[[#This Row],[اجمالى المدة الزمنية المعتمدة]]</f>
        <v>1.1956224350205198</v>
      </c>
    </row>
    <row r="84" spans="1:28" ht="22.5" customHeight="1" x14ac:dyDescent="0.3">
      <c r="A84" s="7" t="str" cm="1">
        <f t="array" ref="A84">_xlfn.XLOOKUP(P_FACT[[#This Row],[PROJECT ID]],Table3[PROJECT ID],Sheet1!$D$2:$D$142)</f>
        <v>شركة المقاولون العرب الكاميرونية</v>
      </c>
      <c r="B84" s="5">
        <v>1112</v>
      </c>
      <c r="C84" s="5" t="s">
        <v>125</v>
      </c>
      <c r="D84" s="6">
        <v>46234</v>
      </c>
      <c r="E84" s="5" t="s">
        <v>171</v>
      </c>
      <c r="F84" s="10" t="s">
        <v>229</v>
      </c>
      <c r="G84" s="5">
        <v>10089477.526666667</v>
      </c>
      <c r="H84" s="5">
        <v>8559112.5283333343</v>
      </c>
      <c r="I84" s="4">
        <f>P_FACT[[#This Row],[منفذ شامل مستخلص داخلى
(B)]]/P_FACT[[#This Row],[اجمالى القيمة التعاقدية
(A)]]</f>
        <v>0.84832068912502645</v>
      </c>
      <c r="J84" s="5">
        <v>8559112.5283333343</v>
      </c>
      <c r="K84" s="4">
        <f>P_FACT[[#This Row],[منفذ معتمد
(C)]]/P_FACT[[#This Row],[اجمالى القيمة التعاقدية
(A)]]</f>
        <v>0.84832068912502645</v>
      </c>
      <c r="L84" s="5">
        <v>1000000</v>
      </c>
      <c r="M84" s="4">
        <f>IF(P_FACT[[#This Row],[منفذ معتمد
(C)]]&gt;0,P_FACT[[#This Row],[اعمال مسدده
(D)]]/P_FACT[[#This Row],[منفذ معتمد
(C)]],0)</f>
        <v>0.11683454291431358</v>
      </c>
      <c r="N84" s="5">
        <v>1000000</v>
      </c>
      <c r="O84" s="4">
        <f>IF(P_FACT[[#This Row],[منفذ معتمد
(C)]]&gt;0,P_FACT[[#This Row],[سيولة محصلة
(F)]]/P_FACT[[#This Row],[منفذ معتمد
(C)]],0)</f>
        <v>0.11683454291431358</v>
      </c>
      <c r="P84" s="5">
        <v>7559112.5283333333</v>
      </c>
      <c r="Q84" s="4">
        <f>IF(P_FACT[[#This Row],[منفذ شامل مستخلص داخلى
(B)]]&gt;0,P_FACT[[#This Row],[الاعمال القابلة للصرف
(H)]]/P_FACT[[#This Row],[منفذ شامل مستخلص داخلى
(B)]],0)</f>
        <v>0.88316545708568628</v>
      </c>
      <c r="R84" s="5">
        <v>0</v>
      </c>
      <c r="S84" s="4">
        <f>IF(P_FACT[[#This Row],[منفذ معتمد
(C)]]&gt;0,P_FACT[[#This Row],[غير قابلة للصرف
(G)]]/P_FACT[[#This Row],[منفذ معتمد
(C)]],0)</f>
        <v>0</v>
      </c>
      <c r="T84" s="5">
        <v>0</v>
      </c>
      <c r="U84" s="4">
        <f>IF(P_FACT[[#This Row],[منفذ معتمد
(C)]]&gt;0,P_FACT[[#This Row],[الربحية
(I)]]/P_FACT[[#This Row],[منفذ معتمد
(C)]],0)</f>
        <v>0</v>
      </c>
      <c r="V84" s="5">
        <v>0</v>
      </c>
      <c r="W84" s="4">
        <f>IF(P_FACT[[#This Row],[منفذ معتمد
(C)]]&gt;0,P_FACT[[#This Row],[الاجور
(J)]]/P_FACT[[#This Row],[منفذ معتمد
(C)]],0)</f>
        <v>0</v>
      </c>
      <c r="X84" s="6">
        <v>45841</v>
      </c>
      <c r="Y84" s="6">
        <v>46387</v>
      </c>
      <c r="Z84" s="2">
        <f>P_FACT[[#This Row],[تاريخ نهو المشروع المعدل شامل مد مدة الزمنى]]-P_FACT[[#This Row],[تاريخ بدء المشروع التعاقدى]]</f>
        <v>546</v>
      </c>
      <c r="AA84" s="2">
        <f>P_FACT[[#This Row],[تاريخ نهو المشروع المعدل شامل مد مدة الزمنى]]-P_FACT[[#This Row],[تاريخ تحديث البيان]]</f>
        <v>153</v>
      </c>
      <c r="AB84" s="3">
        <f>(P_FACT[[#This Row],[اجمالى المدة الزمنية المعتمدة]]-P_FACT[[#This Row],[المدة المنقضبة]])/P_FACT[[#This Row],[اجمالى المدة الزمنية المعتمدة]]</f>
        <v>0.71978021978021978</v>
      </c>
    </row>
    <row r="85" spans="1:28" ht="22.5" customHeight="1" x14ac:dyDescent="0.3">
      <c r="A85" s="8" t="str" cm="1">
        <f t="array" ref="A85">_xlfn.XLOOKUP(P_FACT[[#This Row],[PROJECT ID]],Table3[PROJECT ID],Sheet1!$D$2:$D$142)</f>
        <v>شركة المقاولون العرب الكاميرونية</v>
      </c>
      <c r="B85" s="5">
        <v>1088</v>
      </c>
      <c r="C85" s="5" t="s">
        <v>125</v>
      </c>
      <c r="D85" s="6">
        <v>46234</v>
      </c>
      <c r="E85" s="5" t="s">
        <v>127</v>
      </c>
      <c r="F85" s="10" t="s">
        <v>229</v>
      </c>
      <c r="G85" s="5">
        <v>43466094.884999998</v>
      </c>
      <c r="H85" s="5">
        <v>19610196.710000001</v>
      </c>
      <c r="I85" s="4">
        <f>P_FACT[[#This Row],[منفذ شامل مستخلص داخلى
(B)]]/P_FACT[[#This Row],[اجمالى القيمة التعاقدية
(A)]]</f>
        <v>0.45116076707335889</v>
      </c>
      <c r="J85" s="5">
        <v>19610196.710000001</v>
      </c>
      <c r="K85" s="4">
        <f>P_FACT[[#This Row],[منفذ معتمد
(C)]]/P_FACT[[#This Row],[اجمالى القيمة التعاقدية
(A)]]</f>
        <v>0.45116076707335889</v>
      </c>
      <c r="L85" s="5">
        <v>17943530.043333333</v>
      </c>
      <c r="M85" s="4">
        <f>IF(P_FACT[[#This Row],[منفذ معتمد
(C)]]&gt;0,P_FACT[[#This Row],[اعمال مسدده
(D)]]/P_FACT[[#This Row],[منفذ معتمد
(C)]],0)</f>
        <v>0.91501020151333978</v>
      </c>
      <c r="N85" s="5">
        <v>17943530.043333333</v>
      </c>
      <c r="O85" s="4">
        <f>IF(P_FACT[[#This Row],[منفذ معتمد
(C)]]&gt;0,P_FACT[[#This Row],[سيولة محصلة
(F)]]/P_FACT[[#This Row],[منفذ معتمد
(C)]],0)</f>
        <v>0.91501020151333978</v>
      </c>
      <c r="P85" s="5">
        <v>1666666.6666666667</v>
      </c>
      <c r="Q85" s="4">
        <f>IF(P_FACT[[#This Row],[منفذ شامل مستخلص داخلى
(B)]]&gt;0,P_FACT[[#This Row],[الاعمال القابلة للصرف
(H)]]/P_FACT[[#This Row],[منفذ شامل مستخلص داخلى
(B)]],0)</f>
        <v>8.498979848666019E-2</v>
      </c>
      <c r="R85" s="5">
        <v>0</v>
      </c>
      <c r="S85" s="4">
        <f>IF(P_FACT[[#This Row],[منفذ معتمد
(C)]]&gt;0,P_FACT[[#This Row],[غير قابلة للصرف
(G)]]/P_FACT[[#This Row],[منفذ معتمد
(C)]],0)</f>
        <v>0</v>
      </c>
      <c r="T85" s="5">
        <v>0</v>
      </c>
      <c r="U85" s="4">
        <f>IF(P_FACT[[#This Row],[منفذ معتمد
(C)]]&gt;0,P_FACT[[#This Row],[الربحية
(I)]]/P_FACT[[#This Row],[منفذ معتمد
(C)]],0)</f>
        <v>0</v>
      </c>
      <c r="V85" s="5">
        <v>1660500.9333333333</v>
      </c>
      <c r="W85" s="4">
        <f>IF(P_FACT[[#This Row],[منفذ معتمد
(C)]]&gt;0,P_FACT[[#This Row],[الاجور
(J)]]/P_FACT[[#This Row],[منفذ معتمد
(C)]],0)</f>
        <v>8.4675383826546699E-2</v>
      </c>
      <c r="X85" s="6">
        <v>44922</v>
      </c>
      <c r="Y85" s="6">
        <v>46565</v>
      </c>
      <c r="Z85" s="2">
        <f>P_FACT[[#This Row],[تاريخ نهو المشروع المعدل شامل مد مدة الزمنى]]-P_FACT[[#This Row],[تاريخ بدء المشروع التعاقدى]]</f>
        <v>1643</v>
      </c>
      <c r="AA85" s="2">
        <f>P_FACT[[#This Row],[تاريخ نهو المشروع المعدل شامل مد مدة الزمنى]]-P_FACT[[#This Row],[تاريخ تحديث البيان]]</f>
        <v>331</v>
      </c>
      <c r="AB85" s="3">
        <f>(P_FACT[[#This Row],[اجمالى المدة الزمنية المعتمدة]]-P_FACT[[#This Row],[المدة المنقضبة]])/P_FACT[[#This Row],[اجمالى المدة الزمنية المعتمدة]]</f>
        <v>0.7985392574558734</v>
      </c>
    </row>
    <row r="86" spans="1:28" ht="22.5" customHeight="1" x14ac:dyDescent="0.3">
      <c r="A86" s="7" t="str" cm="1">
        <f t="array" ref="A86">_xlfn.XLOOKUP(P_FACT[[#This Row],[PROJECT ID]],Table3[PROJECT ID],Sheet1!$D$2:$D$142)</f>
        <v>شركة المقاولون العرب الكاميرونية</v>
      </c>
      <c r="B86" s="5">
        <v>1092</v>
      </c>
      <c r="C86" s="5" t="s">
        <v>125</v>
      </c>
      <c r="D86" s="6">
        <v>46234</v>
      </c>
      <c r="E86" s="5" t="s">
        <v>128</v>
      </c>
      <c r="F86" s="10" t="s">
        <v>229</v>
      </c>
      <c r="G86" s="5">
        <v>37825566.893333331</v>
      </c>
      <c r="H86" s="5">
        <v>7783958.5516666668</v>
      </c>
      <c r="I86" s="4">
        <f>P_FACT[[#This Row],[منفذ شامل مستخلص داخلى
(B)]]/P_FACT[[#This Row],[اجمالى القيمة التعاقدية
(A)]]</f>
        <v>0.20578564159043897</v>
      </c>
      <c r="J86" s="5">
        <v>7783958.5516666668</v>
      </c>
      <c r="K86" s="4">
        <f>P_FACT[[#This Row],[منفذ معتمد
(C)]]/P_FACT[[#This Row],[اجمالى القيمة التعاقدية
(A)]]</f>
        <v>0.20578564159043897</v>
      </c>
      <c r="L86" s="5">
        <v>5833333.333333333</v>
      </c>
      <c r="M86" s="4">
        <f>IF(P_FACT[[#This Row],[منفذ معتمد
(C)]]&gt;0,P_FACT[[#This Row],[اعمال مسدده
(D)]]/P_FACT[[#This Row],[منفذ معتمد
(C)]],0)</f>
        <v>0.74940447005390665</v>
      </c>
      <c r="N86" s="5">
        <v>13428467.931666667</v>
      </c>
      <c r="O86" s="4">
        <f>IF(P_FACT[[#This Row],[منفذ معتمد
(C)]]&gt;0,P_FACT[[#This Row],[سيولة محصلة
(F)]]/P_FACT[[#This Row],[منفذ معتمد
(C)]],0)</f>
        <v>1.7251463818228352</v>
      </c>
      <c r="P86" s="5">
        <v>1950625.2183333333</v>
      </c>
      <c r="Q86" s="4">
        <f>IF(P_FACT[[#This Row],[منفذ شامل مستخلص داخلى
(B)]]&gt;0,P_FACT[[#This Row],[الاعمال القابلة للصرف
(H)]]/P_FACT[[#This Row],[منفذ شامل مستخلص داخلى
(B)]],0)</f>
        <v>0.2505955299460933</v>
      </c>
      <c r="R86" s="5">
        <v>0</v>
      </c>
      <c r="S86" s="4">
        <f>IF(P_FACT[[#This Row],[منفذ معتمد
(C)]]&gt;0,P_FACT[[#This Row],[غير قابلة للصرف
(G)]]/P_FACT[[#This Row],[منفذ معتمد
(C)]],0)</f>
        <v>0</v>
      </c>
      <c r="T86" s="5">
        <v>0</v>
      </c>
      <c r="U86" s="4">
        <f>IF(P_FACT[[#This Row],[منفذ معتمد
(C)]]&gt;0,P_FACT[[#This Row],[الربحية
(I)]]/P_FACT[[#This Row],[منفذ معتمد
(C)]],0)</f>
        <v>0</v>
      </c>
      <c r="V86" s="5">
        <v>0</v>
      </c>
      <c r="W86" s="4">
        <f>IF(P_FACT[[#This Row],[منفذ معتمد
(C)]]&gt;0,P_FACT[[#This Row],[الاجور
(J)]]/P_FACT[[#This Row],[منفذ معتمد
(C)]],0)</f>
        <v>0</v>
      </c>
      <c r="X86" s="6">
        <v>45356</v>
      </c>
      <c r="Y86" s="6">
        <v>46064</v>
      </c>
      <c r="Z86" s="2">
        <f>P_FACT[[#This Row],[تاريخ نهو المشروع المعدل شامل مد مدة الزمنى]]-P_FACT[[#This Row],[تاريخ بدء المشروع التعاقدى]]</f>
        <v>708</v>
      </c>
      <c r="AA86" s="2">
        <f>P_FACT[[#This Row],[تاريخ نهو المشروع المعدل شامل مد مدة الزمنى]]-P_FACT[[#This Row],[تاريخ تحديث البيان]]</f>
        <v>-170</v>
      </c>
      <c r="AB86" s="3">
        <f>(P_FACT[[#This Row],[اجمالى المدة الزمنية المعتمدة]]-P_FACT[[#This Row],[المدة المنقضبة]])/P_FACT[[#This Row],[اجمالى المدة الزمنية المعتمدة]]</f>
        <v>1.2401129943502824</v>
      </c>
    </row>
    <row r="87" spans="1:28" ht="22.5" customHeight="1" x14ac:dyDescent="0.3">
      <c r="A87" s="8" t="str" cm="1">
        <f t="array" ref="A87">_xlfn.XLOOKUP(P_FACT[[#This Row],[PROJECT ID]],Table3[PROJECT ID],Sheet1!$D$2:$D$142)</f>
        <v>شركة المقاولون العرب الكاميرونية</v>
      </c>
      <c r="B87" s="5">
        <v>1093</v>
      </c>
      <c r="C87" s="5" t="s">
        <v>125</v>
      </c>
      <c r="D87" s="6">
        <v>46234</v>
      </c>
      <c r="E87" s="5" t="s">
        <v>130</v>
      </c>
      <c r="F87" s="10" t="s">
        <v>229</v>
      </c>
      <c r="G87" s="5">
        <v>13521086.550000001</v>
      </c>
      <c r="H87" s="5">
        <v>6278431.081666667</v>
      </c>
      <c r="I87" s="4">
        <f>P_FACT[[#This Row],[منفذ شامل مستخلص داخلى
(B)]]/P_FACT[[#This Row],[اجمالى القيمة التعاقدية
(A)]]</f>
        <v>0.46434367966283496</v>
      </c>
      <c r="J87" s="5">
        <v>6278431.081666667</v>
      </c>
      <c r="K87" s="4">
        <f>P_FACT[[#This Row],[منفذ معتمد
(C)]]/P_FACT[[#This Row],[اجمالى القيمة التعاقدية
(A)]]</f>
        <v>0.46434367966283496</v>
      </c>
      <c r="L87" s="5">
        <v>6045100.831666667</v>
      </c>
      <c r="M87" s="4">
        <f>IF(P_FACT[[#This Row],[منفذ معتمد
(C)]]&gt;0,P_FACT[[#This Row],[اعمال مسدده
(D)]]/P_FACT[[#This Row],[منفذ معتمد
(C)]],0)</f>
        <v>0.96283621704770539</v>
      </c>
      <c r="N87" s="5">
        <v>6045100.831666667</v>
      </c>
      <c r="O87" s="4">
        <f>IF(P_FACT[[#This Row],[منفذ معتمد
(C)]]&gt;0,P_FACT[[#This Row],[سيولة محصلة
(F)]]/P_FACT[[#This Row],[منفذ معتمد
(C)]],0)</f>
        <v>0.96283621704770539</v>
      </c>
      <c r="P87" s="5">
        <v>233330.25</v>
      </c>
      <c r="Q87" s="4">
        <f>IF(P_FACT[[#This Row],[منفذ شامل مستخلص داخلى
(B)]]&gt;0,P_FACT[[#This Row],[الاعمال القابلة للصرف
(H)]]/P_FACT[[#This Row],[منفذ شامل مستخلص داخلى
(B)]],0)</f>
        <v>3.7163782952294562E-2</v>
      </c>
      <c r="R87" s="5">
        <v>0</v>
      </c>
      <c r="S87" s="4">
        <f>IF(P_FACT[[#This Row],[منفذ معتمد
(C)]]&gt;0,P_FACT[[#This Row],[غير قابلة للصرف
(G)]]/P_FACT[[#This Row],[منفذ معتمد
(C)]],0)</f>
        <v>0</v>
      </c>
      <c r="T87" s="5">
        <v>0</v>
      </c>
      <c r="U87" s="4">
        <f>IF(P_FACT[[#This Row],[منفذ معتمد
(C)]]&gt;0,P_FACT[[#This Row],[الربحية
(I)]]/P_FACT[[#This Row],[منفذ معتمد
(C)]],0)</f>
        <v>0</v>
      </c>
      <c r="V87" s="5">
        <v>0</v>
      </c>
      <c r="W87" s="4">
        <f>IF(P_FACT[[#This Row],[منفذ معتمد
(C)]]&gt;0,P_FACT[[#This Row],[الاجور
(J)]]/P_FACT[[#This Row],[منفذ معتمد
(C)]],0)</f>
        <v>0</v>
      </c>
      <c r="X87" s="6">
        <v>44862</v>
      </c>
      <c r="Y87" s="6">
        <v>46312</v>
      </c>
      <c r="Z87" s="2">
        <f>P_FACT[[#This Row],[تاريخ نهو المشروع المعدل شامل مد مدة الزمنى]]-P_FACT[[#This Row],[تاريخ بدء المشروع التعاقدى]]</f>
        <v>1450</v>
      </c>
      <c r="AA87" s="2">
        <f>P_FACT[[#This Row],[تاريخ نهو المشروع المعدل شامل مد مدة الزمنى]]-P_FACT[[#This Row],[تاريخ تحديث البيان]]</f>
        <v>78</v>
      </c>
      <c r="AB87" s="3">
        <f>(P_FACT[[#This Row],[اجمالى المدة الزمنية المعتمدة]]-P_FACT[[#This Row],[المدة المنقضبة]])/P_FACT[[#This Row],[اجمالى المدة الزمنية المعتمدة]]</f>
        <v>0.94620689655172419</v>
      </c>
    </row>
    <row r="88" spans="1:28" ht="22.5" customHeight="1" x14ac:dyDescent="0.3">
      <c r="A88" s="7" t="str" cm="1">
        <f t="array" ref="A88">_xlfn.XLOOKUP(P_FACT[[#This Row],[PROJECT ID]],Table3[PROJECT ID],Sheet1!$D$2:$D$142)</f>
        <v>شركة المقاولون العرب الكاميرونية</v>
      </c>
      <c r="B88" s="5">
        <v>1089</v>
      </c>
      <c r="C88" s="5" t="s">
        <v>125</v>
      </c>
      <c r="D88" s="6">
        <v>46234</v>
      </c>
      <c r="E88" s="5" t="s">
        <v>131</v>
      </c>
      <c r="F88" s="10" t="s">
        <v>229</v>
      </c>
      <c r="G88" s="5">
        <v>36624896.618333332</v>
      </c>
      <c r="H88" s="5">
        <v>5001922.7116666669</v>
      </c>
      <c r="I88" s="4">
        <f>P_FACT[[#This Row],[منفذ شامل مستخلص داخلى
(B)]]/P_FACT[[#This Row],[اجمالى القيمة التعاقدية
(A)]]</f>
        <v>0.13657165407977845</v>
      </c>
      <c r="J88" s="5">
        <v>5001922.7116666669</v>
      </c>
      <c r="K88" s="4">
        <f>P_FACT[[#This Row],[منفذ معتمد
(C)]]/P_FACT[[#This Row],[اجمالى القيمة التعاقدية
(A)]]</f>
        <v>0.13657165407977845</v>
      </c>
      <c r="L88" s="5">
        <v>3333333.3333333335</v>
      </c>
      <c r="M88" s="4">
        <f>IF(P_FACT[[#This Row],[منفذ معتمد
(C)]]&gt;0,P_FACT[[#This Row],[اعمال مسدده
(D)]]/P_FACT[[#This Row],[منفذ معتمد
(C)]],0)</f>
        <v>0.66641040365508752</v>
      </c>
      <c r="N88" s="5">
        <v>11077024.863333333</v>
      </c>
      <c r="O88" s="4">
        <f>IF(P_FACT[[#This Row],[منفذ معتمد
(C)]]&gt;0,P_FACT[[#This Row],[سيولة محصلة
(F)]]/P_FACT[[#This Row],[منفذ معتمد
(C)]],0)</f>
        <v>2.2145533831414221</v>
      </c>
      <c r="P88" s="5">
        <v>1668589.3783333334</v>
      </c>
      <c r="Q88" s="4">
        <f>IF(P_FACT[[#This Row],[منفذ شامل مستخلص داخلى
(B)]]&gt;0,P_FACT[[#This Row],[الاعمال القابلة للصرف
(H)]]/P_FACT[[#This Row],[منفذ شامل مستخلص داخلى
(B)]],0)</f>
        <v>0.33358959634491248</v>
      </c>
      <c r="R88" s="5">
        <v>0</v>
      </c>
      <c r="S88" s="4">
        <f>IF(P_FACT[[#This Row],[منفذ معتمد
(C)]]&gt;0,P_FACT[[#This Row],[غير قابلة للصرف
(G)]]/P_FACT[[#This Row],[منفذ معتمد
(C)]],0)</f>
        <v>0</v>
      </c>
      <c r="T88" s="5">
        <v>0</v>
      </c>
      <c r="U88" s="4">
        <f>IF(P_FACT[[#This Row],[منفذ معتمد
(C)]]&gt;0,P_FACT[[#This Row],[الربحية
(I)]]/P_FACT[[#This Row],[منفذ معتمد
(C)]],0)</f>
        <v>0</v>
      </c>
      <c r="V88" s="5">
        <v>0</v>
      </c>
      <c r="W88" s="4">
        <f>IF(P_FACT[[#This Row],[منفذ معتمد
(C)]]&gt;0,P_FACT[[#This Row],[الاجور
(J)]]/P_FACT[[#This Row],[منفذ معتمد
(C)]],0)</f>
        <v>0</v>
      </c>
      <c r="X88" s="6">
        <v>45330</v>
      </c>
      <c r="Y88" s="6">
        <v>46423</v>
      </c>
      <c r="Z88" s="2">
        <f>P_FACT[[#This Row],[تاريخ نهو المشروع المعدل شامل مد مدة الزمنى]]-P_FACT[[#This Row],[تاريخ بدء المشروع التعاقدى]]</f>
        <v>1093</v>
      </c>
      <c r="AA88" s="2">
        <f>P_FACT[[#This Row],[تاريخ نهو المشروع المعدل شامل مد مدة الزمنى]]-P_FACT[[#This Row],[تاريخ تحديث البيان]]</f>
        <v>189</v>
      </c>
      <c r="AB88" s="3">
        <f>(P_FACT[[#This Row],[اجمالى المدة الزمنية المعتمدة]]-P_FACT[[#This Row],[المدة المنقضبة]])/P_FACT[[#This Row],[اجمالى المدة الزمنية المعتمدة]]</f>
        <v>0.82708142726440992</v>
      </c>
    </row>
    <row r="89" spans="1:28" ht="22.5" customHeight="1" x14ac:dyDescent="0.3">
      <c r="A89" s="8" t="str" cm="1">
        <f t="array" ref="A89">_xlfn.XLOOKUP(P_FACT[[#This Row],[PROJECT ID]],Table3[PROJECT ID],Sheet1!$D$2:$D$142)</f>
        <v>فرع تشاد</v>
      </c>
      <c r="B89" s="5">
        <v>1126</v>
      </c>
      <c r="C89" s="5" t="s">
        <v>27</v>
      </c>
      <c r="D89" s="6">
        <v>46234</v>
      </c>
      <c r="E89" s="5" t="s">
        <v>191</v>
      </c>
      <c r="F89" s="5" t="s">
        <v>192</v>
      </c>
      <c r="G89" s="5">
        <v>120670283.90413223</v>
      </c>
      <c r="H89" s="5">
        <v>0</v>
      </c>
      <c r="I89" s="4">
        <f>P_FACT[[#This Row],[منفذ شامل مستخلص داخلى
(B)]]/P_FACT[[#This Row],[اجمالى القيمة التعاقدية
(A)]]</f>
        <v>0</v>
      </c>
      <c r="J89" s="5">
        <v>0</v>
      </c>
      <c r="K89" s="4">
        <f>P_FACT[[#This Row],[منفذ معتمد
(C)]]/P_FACT[[#This Row],[اجمالى القيمة التعاقدية
(A)]]</f>
        <v>0</v>
      </c>
      <c r="L89" s="5">
        <v>0</v>
      </c>
      <c r="M89" s="4">
        <f>IF(P_FACT[[#This Row],[منفذ معتمد
(C)]]&gt;0,P_FACT[[#This Row],[اعمال مسدده
(D)]]/P_FACT[[#This Row],[منفذ معتمد
(C)]],0)</f>
        <v>0</v>
      </c>
      <c r="N89" s="5">
        <v>24134056.780165289</v>
      </c>
      <c r="O89" s="4">
        <f>IF(P_FACT[[#This Row],[منفذ معتمد
(C)]]&gt;0,P_FACT[[#This Row],[سيولة محصلة
(F)]]/P_FACT[[#This Row],[منفذ معتمد
(C)]],0)</f>
        <v>0</v>
      </c>
      <c r="P89" s="5">
        <v>0</v>
      </c>
      <c r="Q89" s="4">
        <f>IF(P_FACT[[#This Row],[منفذ شامل مستخلص داخلى
(B)]]&gt;0,P_FACT[[#This Row],[الاعمال القابلة للصرف
(H)]]/P_FACT[[#This Row],[منفذ شامل مستخلص داخلى
(B)]],0)</f>
        <v>0</v>
      </c>
      <c r="R89" s="5">
        <v>0</v>
      </c>
      <c r="S89" s="4">
        <f>IF(P_FACT[[#This Row],[منفذ معتمد
(C)]]&gt;0,P_FACT[[#This Row],[غير قابلة للصرف
(G)]]/P_FACT[[#This Row],[منفذ معتمد
(C)]],0)</f>
        <v>0</v>
      </c>
      <c r="T89" s="5">
        <v>0</v>
      </c>
      <c r="U89" s="4">
        <f>IF(P_FACT[[#This Row],[منفذ معتمد
(C)]]&gt;0,P_FACT[[#This Row],[الربحية
(I)]]/P_FACT[[#This Row],[منفذ معتمد
(C)]],0)</f>
        <v>0</v>
      </c>
      <c r="V89" s="5">
        <v>0</v>
      </c>
      <c r="W89" s="4">
        <f>IF(P_FACT[[#This Row],[منفذ معتمد
(C)]]&gt;0,P_FACT[[#This Row],[الاجور
(J)]]/P_FACT[[#This Row],[منفذ معتمد
(C)]],0)</f>
        <v>0</v>
      </c>
      <c r="X89" s="6">
        <v>46188</v>
      </c>
      <c r="Y89" s="6">
        <v>47284</v>
      </c>
      <c r="Z89" s="2">
        <f>P_FACT[[#This Row],[تاريخ نهو المشروع المعدل شامل مد مدة الزمنى]]-P_FACT[[#This Row],[تاريخ بدء المشروع التعاقدى]]</f>
        <v>1096</v>
      </c>
      <c r="AA89" s="2">
        <f>P_FACT[[#This Row],[تاريخ نهو المشروع المعدل شامل مد مدة الزمنى]]-P_FACT[[#This Row],[تاريخ تحديث البيان]]</f>
        <v>1050</v>
      </c>
      <c r="AB89" s="3">
        <f>(P_FACT[[#This Row],[اجمالى المدة الزمنية المعتمدة]]-P_FACT[[#This Row],[المدة المنقضبة]])/P_FACT[[#This Row],[اجمالى المدة الزمنية المعتمدة]]</f>
        <v>4.1970802919708027E-2</v>
      </c>
    </row>
    <row r="90" spans="1:28" ht="22.5" customHeight="1" x14ac:dyDescent="0.3">
      <c r="A90" s="7" t="str" cm="1">
        <f t="array" ref="A90">_xlfn.XLOOKUP(P_FACT[[#This Row],[PROJECT ID]],Table3[PROJECT ID],Sheet1!$D$2:$D$142)</f>
        <v>فرع تشاد</v>
      </c>
      <c r="B90" s="5">
        <v>1127</v>
      </c>
      <c r="C90" s="5" t="s">
        <v>27</v>
      </c>
      <c r="D90" s="6">
        <v>46234</v>
      </c>
      <c r="E90" s="5" t="s">
        <v>193</v>
      </c>
      <c r="F90" s="5" t="s">
        <v>194</v>
      </c>
      <c r="G90" s="5">
        <v>131494309.14545454</v>
      </c>
      <c r="H90" s="5">
        <v>0</v>
      </c>
      <c r="I90" s="4">
        <f>P_FACT[[#This Row],[منفذ شامل مستخلص داخلى
(B)]]/P_FACT[[#This Row],[اجمالى القيمة التعاقدية
(A)]]</f>
        <v>0</v>
      </c>
      <c r="J90" s="5">
        <v>0</v>
      </c>
      <c r="K90" s="4">
        <f>P_FACT[[#This Row],[منفذ معتمد
(C)]]/P_FACT[[#This Row],[اجمالى القيمة التعاقدية
(A)]]</f>
        <v>0</v>
      </c>
      <c r="L90" s="5">
        <v>0</v>
      </c>
      <c r="M90" s="4">
        <f>IF(P_FACT[[#This Row],[منفذ معتمد
(C)]]&gt;0,P_FACT[[#This Row],[اعمال مسدده
(D)]]/P_FACT[[#This Row],[منفذ معتمد
(C)]],0)</f>
        <v>0</v>
      </c>
      <c r="N90" s="5">
        <v>26298861.829752065</v>
      </c>
      <c r="O90" s="4">
        <f>IF(P_FACT[[#This Row],[منفذ معتمد
(C)]]&gt;0,P_FACT[[#This Row],[سيولة محصلة
(F)]]/P_FACT[[#This Row],[منفذ معتمد
(C)]],0)</f>
        <v>0</v>
      </c>
      <c r="P90" s="5">
        <v>0</v>
      </c>
      <c r="Q90" s="4">
        <f>IF(P_FACT[[#This Row],[منفذ شامل مستخلص داخلى
(B)]]&gt;0,P_FACT[[#This Row],[الاعمال القابلة للصرف
(H)]]/P_FACT[[#This Row],[منفذ شامل مستخلص داخلى
(B)]],0)</f>
        <v>0</v>
      </c>
      <c r="R90" s="5">
        <v>0</v>
      </c>
      <c r="S90" s="4">
        <f>IF(P_FACT[[#This Row],[منفذ معتمد
(C)]]&gt;0,P_FACT[[#This Row],[غير قابلة للصرف
(G)]]/P_FACT[[#This Row],[منفذ معتمد
(C)]],0)</f>
        <v>0</v>
      </c>
      <c r="T90" s="5">
        <v>0</v>
      </c>
      <c r="U90" s="4">
        <f>IF(P_FACT[[#This Row],[منفذ معتمد
(C)]]&gt;0,P_FACT[[#This Row],[الربحية
(I)]]/P_FACT[[#This Row],[منفذ معتمد
(C)]],0)</f>
        <v>0</v>
      </c>
      <c r="V90" s="5">
        <v>0</v>
      </c>
      <c r="W90" s="4">
        <f>IF(P_FACT[[#This Row],[منفذ معتمد
(C)]]&gt;0,P_FACT[[#This Row],[الاجور
(J)]]/P_FACT[[#This Row],[منفذ معتمد
(C)]],0)</f>
        <v>0</v>
      </c>
      <c r="X90" s="6">
        <v>46188</v>
      </c>
      <c r="Y90" s="6">
        <v>47041</v>
      </c>
      <c r="Z90" s="2">
        <f>P_FACT[[#This Row],[تاريخ نهو المشروع المعدل شامل مد مدة الزمنى]]-P_FACT[[#This Row],[تاريخ بدء المشروع التعاقدى]]</f>
        <v>853</v>
      </c>
      <c r="AA90" s="2">
        <f>P_FACT[[#This Row],[تاريخ نهو المشروع المعدل شامل مد مدة الزمنى]]-P_FACT[[#This Row],[تاريخ تحديث البيان]]</f>
        <v>807</v>
      </c>
      <c r="AB90" s="3">
        <f>(P_FACT[[#This Row],[اجمالى المدة الزمنية المعتمدة]]-P_FACT[[#This Row],[المدة المنقضبة]])/P_FACT[[#This Row],[اجمالى المدة الزمنية المعتمدة]]</f>
        <v>5.3927315357561546E-2</v>
      </c>
    </row>
    <row r="91" spans="1:28" ht="22.5" customHeight="1" x14ac:dyDescent="0.3">
      <c r="A91" s="9" t="str" cm="1">
        <f t="array" ref="A91">_xlfn.XLOOKUP(P_FACT[[#This Row],[PROJECT ID]],Table3[PROJECT ID],Sheet1!$D$2:$D$142)</f>
        <v>شركة المقاولون العرب الغانية</v>
      </c>
      <c r="B91" s="5">
        <v>1134</v>
      </c>
      <c r="C91" s="5" t="s">
        <v>168</v>
      </c>
      <c r="D91" s="6">
        <v>46234</v>
      </c>
      <c r="E91" s="5" t="s">
        <v>188</v>
      </c>
      <c r="F91" s="10" t="s">
        <v>189</v>
      </c>
      <c r="G91" s="5">
        <v>81858190.555555552</v>
      </c>
      <c r="H91" s="5">
        <v>0</v>
      </c>
      <c r="I91" s="4">
        <f>P_FACT[[#This Row],[منفذ شامل مستخلص داخلى
(B)]]/P_FACT[[#This Row],[اجمالى القيمة التعاقدية
(A)]]</f>
        <v>0</v>
      </c>
      <c r="J91" s="5">
        <v>0</v>
      </c>
      <c r="K91" s="4">
        <f>P_FACT[[#This Row],[منفذ معتمد
(C)]]/P_FACT[[#This Row],[اجمالى القيمة التعاقدية
(A)]]</f>
        <v>0</v>
      </c>
      <c r="L91" s="5">
        <v>0</v>
      </c>
      <c r="M91" s="4">
        <f>IF(P_FACT[[#This Row],[منفذ معتمد
(C)]]&gt;0,P_FACT[[#This Row],[اعمال مسدده
(D)]]/P_FACT[[#This Row],[منفذ معتمد
(C)]],0)</f>
        <v>0</v>
      </c>
      <c r="N91" s="5">
        <v>0</v>
      </c>
      <c r="O91" s="4">
        <f>IF(P_FACT[[#This Row],[منفذ معتمد
(C)]]&gt;0,P_FACT[[#This Row],[سيولة محصلة
(F)]]/P_FACT[[#This Row],[منفذ معتمد
(C)]],0)</f>
        <v>0</v>
      </c>
      <c r="P91" s="5">
        <v>0</v>
      </c>
      <c r="Q91" s="4">
        <f>IF(P_FACT[[#This Row],[منفذ شامل مستخلص داخلى
(B)]]&gt;0,P_FACT[[#This Row],[الاعمال القابلة للصرف
(H)]]/P_FACT[[#This Row],[منفذ شامل مستخلص داخلى
(B)]],0)</f>
        <v>0</v>
      </c>
      <c r="R91" s="5">
        <v>0</v>
      </c>
      <c r="S91" s="4">
        <f>IF(P_FACT[[#This Row],[منفذ معتمد
(C)]]&gt;0,P_FACT[[#This Row],[غير قابلة للصرف
(G)]]/P_FACT[[#This Row],[منفذ معتمد
(C)]],0)</f>
        <v>0</v>
      </c>
      <c r="T91" s="5">
        <v>0</v>
      </c>
      <c r="U91" s="4">
        <f>IF(P_FACT[[#This Row],[منفذ معتمد
(C)]]&gt;0,P_FACT[[#This Row],[الربحية
(I)]]/P_FACT[[#This Row],[منفذ معتمد
(C)]],0)</f>
        <v>0</v>
      </c>
      <c r="V91" s="5">
        <v>0</v>
      </c>
      <c r="W91" s="4">
        <f>IF(P_FACT[[#This Row],[منفذ معتمد
(C)]]&gt;0,P_FACT[[#This Row],[الاجور
(J)]]/P_FACT[[#This Row],[منفذ معتمد
(C)]],0)</f>
        <v>0</v>
      </c>
      <c r="X91" s="6">
        <v>46034</v>
      </c>
      <c r="Y91" s="6">
        <v>46764</v>
      </c>
      <c r="Z91" s="2">
        <f>P_FACT[[#This Row],[تاريخ نهو المشروع المعدل شامل مد مدة الزمنى]]-P_FACT[[#This Row],[تاريخ بدء المشروع التعاقدى]]</f>
        <v>730</v>
      </c>
      <c r="AA91" s="2">
        <f>P_FACT[[#This Row],[تاريخ نهو المشروع المعدل شامل مد مدة الزمنى]]-P_FACT[[#This Row],[تاريخ تحديث البيان]]</f>
        <v>530</v>
      </c>
      <c r="AB91" s="3">
        <f>(P_FACT[[#This Row],[اجمالى المدة الزمنية المعتمدة]]-P_FACT[[#This Row],[المدة المنقضبة]])/P_FACT[[#This Row],[اجمالى المدة الزمنية المعتمدة]]</f>
        <v>0.27397260273972601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0DCB-4E88-4B20-9D13-D073C0F6040D}">
  <dimension ref="A1:L957"/>
  <sheetViews>
    <sheetView tabSelected="1" topLeftCell="J1" zoomScale="115" zoomScaleNormal="115" workbookViewId="0">
      <selection activeCell="E7" sqref="E7"/>
    </sheetView>
  </sheetViews>
  <sheetFormatPr defaultRowHeight="14.4" x14ac:dyDescent="0.3"/>
  <cols>
    <col min="1" max="1" width="14.77734375" customWidth="1"/>
    <col min="2" max="2" width="15.109375" customWidth="1"/>
    <col min="3" max="3" width="43.44140625" customWidth="1"/>
    <col min="4" max="4" width="15.88671875" customWidth="1"/>
    <col min="5" max="5" width="18.77734375" customWidth="1"/>
    <col min="6" max="6" width="16.5546875" customWidth="1"/>
    <col min="7" max="7" width="25.5546875" customWidth="1"/>
    <col min="8" max="10" width="62.33203125" customWidth="1"/>
    <col min="11" max="11" width="46.21875" customWidth="1"/>
    <col min="12" max="12" width="39.109375" customWidth="1"/>
  </cols>
  <sheetData>
    <row r="1" spans="1:12" s="30" customFormat="1" ht="40.200000000000003" thickBot="1" x14ac:dyDescent="0.35">
      <c r="A1" s="28" t="s">
        <v>0</v>
      </c>
      <c r="B1" s="29" t="s">
        <v>1</v>
      </c>
      <c r="C1" s="29" t="s">
        <v>2</v>
      </c>
      <c r="D1" s="29" t="s">
        <v>4</v>
      </c>
      <c r="E1" s="29" t="s">
        <v>312</v>
      </c>
      <c r="F1" s="29" t="s">
        <v>313</v>
      </c>
      <c r="G1" s="29" t="s">
        <v>314</v>
      </c>
      <c r="H1" s="29" t="s">
        <v>315</v>
      </c>
      <c r="I1" s="29" t="s">
        <v>316</v>
      </c>
      <c r="J1" s="29" t="s">
        <v>317</v>
      </c>
      <c r="K1" s="29" t="s">
        <v>318</v>
      </c>
      <c r="L1" s="29" t="s">
        <v>319</v>
      </c>
    </row>
    <row r="2" spans="1:12" ht="27" thickBot="1" x14ac:dyDescent="0.35">
      <c r="A2" s="15">
        <v>1057</v>
      </c>
      <c r="B2" s="16" t="s">
        <v>338</v>
      </c>
      <c r="C2" s="17" t="s">
        <v>109</v>
      </c>
      <c r="D2" s="17" t="s">
        <v>11</v>
      </c>
      <c r="E2" s="17" t="s">
        <v>17</v>
      </c>
      <c r="F2" s="17" t="s">
        <v>330</v>
      </c>
      <c r="G2" s="17" t="s">
        <v>17</v>
      </c>
      <c r="H2" s="17" t="s">
        <v>332</v>
      </c>
      <c r="I2" s="17" t="s">
        <v>332</v>
      </c>
      <c r="J2" s="17" t="s">
        <v>17</v>
      </c>
      <c r="K2" s="17" t="s">
        <v>17</v>
      </c>
      <c r="L2" s="17" t="s">
        <v>17</v>
      </c>
    </row>
    <row r="3" spans="1:12" ht="40.200000000000003" thickBot="1" x14ac:dyDescent="0.35">
      <c r="A3" s="19">
        <v>1115</v>
      </c>
      <c r="B3" s="20" t="s">
        <v>338</v>
      </c>
      <c r="C3" s="21" t="s">
        <v>178</v>
      </c>
      <c r="D3" s="21" t="s">
        <v>11</v>
      </c>
      <c r="E3" s="21" t="s">
        <v>17</v>
      </c>
      <c r="F3" s="21" t="s">
        <v>330</v>
      </c>
      <c r="G3" s="21" t="s">
        <v>17</v>
      </c>
      <c r="H3" s="21" t="s">
        <v>332</v>
      </c>
      <c r="I3" s="21" t="s">
        <v>332</v>
      </c>
      <c r="J3" s="21" t="s">
        <v>17</v>
      </c>
      <c r="K3" s="21" t="s">
        <v>17</v>
      </c>
      <c r="L3" s="21" t="s">
        <v>17</v>
      </c>
    </row>
    <row r="4" spans="1:12" ht="15" thickBot="1" x14ac:dyDescent="0.35">
      <c r="A4" s="15">
        <v>1018</v>
      </c>
      <c r="B4" s="16" t="s">
        <v>338</v>
      </c>
      <c r="C4" s="17" t="s">
        <v>100</v>
      </c>
      <c r="D4" s="17" t="s">
        <v>11</v>
      </c>
      <c r="E4" s="17" t="s">
        <v>17</v>
      </c>
      <c r="F4" s="17" t="s">
        <v>328</v>
      </c>
      <c r="G4" s="17" t="s">
        <v>12</v>
      </c>
      <c r="H4" s="17" t="s">
        <v>332</v>
      </c>
      <c r="I4" s="17" t="s">
        <v>332</v>
      </c>
      <c r="J4" s="17" t="s">
        <v>12</v>
      </c>
      <c r="K4" s="17" t="s">
        <v>17</v>
      </c>
      <c r="L4" s="17" t="s">
        <v>12</v>
      </c>
    </row>
    <row r="5" spans="1:12" ht="15" thickBot="1" x14ac:dyDescent="0.35">
      <c r="A5" s="19">
        <v>1020</v>
      </c>
      <c r="B5" s="20" t="s">
        <v>338</v>
      </c>
      <c r="C5" s="21" t="s">
        <v>98</v>
      </c>
      <c r="D5" s="21" t="s">
        <v>11</v>
      </c>
      <c r="E5" s="21" t="s">
        <v>17</v>
      </c>
      <c r="F5" s="21" t="s">
        <v>328</v>
      </c>
      <c r="G5" s="21" t="s">
        <v>17</v>
      </c>
      <c r="H5" s="21" t="s">
        <v>332</v>
      </c>
      <c r="I5" s="21" t="s">
        <v>332</v>
      </c>
      <c r="J5" s="21" t="s">
        <v>12</v>
      </c>
      <c r="K5" s="21" t="s">
        <v>17</v>
      </c>
      <c r="L5" s="21" t="s">
        <v>12</v>
      </c>
    </row>
    <row r="6" spans="1:12" ht="15" thickBot="1" x14ac:dyDescent="0.35">
      <c r="A6" s="15">
        <v>1019</v>
      </c>
      <c r="B6" s="16" t="s">
        <v>338</v>
      </c>
      <c r="C6" s="17" t="s">
        <v>101</v>
      </c>
      <c r="D6" s="17" t="s">
        <v>11</v>
      </c>
      <c r="E6" s="17" t="s">
        <v>17</v>
      </c>
      <c r="F6" s="17" t="s">
        <v>328</v>
      </c>
      <c r="G6" s="17" t="s">
        <v>17</v>
      </c>
      <c r="H6" s="17" t="s">
        <v>332</v>
      </c>
      <c r="I6" s="17" t="s">
        <v>332</v>
      </c>
      <c r="J6" s="17" t="s">
        <v>12</v>
      </c>
      <c r="K6" s="17" t="s">
        <v>17</v>
      </c>
      <c r="L6" s="17" t="s">
        <v>12</v>
      </c>
    </row>
    <row r="7" spans="1:12" ht="15" thickBot="1" x14ac:dyDescent="0.35">
      <c r="A7" s="19">
        <v>1021</v>
      </c>
      <c r="B7" s="20" t="s">
        <v>338</v>
      </c>
      <c r="C7" s="21" t="s">
        <v>102</v>
      </c>
      <c r="D7" s="21" t="s">
        <v>11</v>
      </c>
      <c r="E7" s="21" t="s">
        <v>17</v>
      </c>
      <c r="F7" s="21" t="s">
        <v>328</v>
      </c>
      <c r="G7" s="21" t="s">
        <v>17</v>
      </c>
      <c r="H7" s="21" t="s">
        <v>332</v>
      </c>
      <c r="I7" s="21" t="s">
        <v>332</v>
      </c>
      <c r="J7" s="21" t="s">
        <v>12</v>
      </c>
      <c r="K7" s="21" t="s">
        <v>17</v>
      </c>
      <c r="L7" s="21" t="s">
        <v>12</v>
      </c>
    </row>
    <row r="8" spans="1:12" ht="15" thickBot="1" x14ac:dyDescent="0.35">
      <c r="A8" s="15">
        <v>1023</v>
      </c>
      <c r="B8" s="16" t="s">
        <v>338</v>
      </c>
      <c r="C8" s="17" t="s">
        <v>120</v>
      </c>
      <c r="D8" s="17" t="s">
        <v>11</v>
      </c>
      <c r="E8" s="17" t="s">
        <v>17</v>
      </c>
      <c r="F8" s="17" t="s">
        <v>330</v>
      </c>
      <c r="G8" s="17" t="s">
        <v>17</v>
      </c>
      <c r="H8" s="17" t="s">
        <v>17</v>
      </c>
      <c r="I8" s="17" t="s">
        <v>17</v>
      </c>
      <c r="J8" s="17" t="s">
        <v>17</v>
      </c>
      <c r="K8" s="17" t="s">
        <v>12</v>
      </c>
      <c r="L8" s="17" t="s">
        <v>17</v>
      </c>
    </row>
    <row r="9" spans="1:12" ht="15" thickBot="1" x14ac:dyDescent="0.35">
      <c r="A9" s="19">
        <v>1116</v>
      </c>
      <c r="B9" s="20" t="s">
        <v>338</v>
      </c>
      <c r="C9" s="21" t="s">
        <v>179</v>
      </c>
      <c r="D9" s="21" t="s">
        <v>11</v>
      </c>
      <c r="E9" s="21" t="s">
        <v>17</v>
      </c>
      <c r="F9" s="21" t="s">
        <v>330</v>
      </c>
      <c r="G9" s="21" t="s">
        <v>17</v>
      </c>
      <c r="H9" s="21" t="s">
        <v>17</v>
      </c>
      <c r="I9" s="21" t="s">
        <v>17</v>
      </c>
      <c r="J9" s="21" t="s">
        <v>17</v>
      </c>
      <c r="K9" s="21" t="s">
        <v>12</v>
      </c>
      <c r="L9" s="21" t="s">
        <v>17</v>
      </c>
    </row>
    <row r="10" spans="1:12" ht="15" thickBot="1" x14ac:dyDescent="0.35">
      <c r="A10" s="15">
        <v>1024</v>
      </c>
      <c r="B10" s="16" t="s">
        <v>338</v>
      </c>
      <c r="C10" s="17" t="s">
        <v>107</v>
      </c>
      <c r="D10" s="17" t="s">
        <v>26</v>
      </c>
      <c r="E10" s="17" t="s">
        <v>17</v>
      </c>
      <c r="F10" s="17" t="s">
        <v>331</v>
      </c>
      <c r="G10" s="17" t="s">
        <v>17</v>
      </c>
      <c r="H10" s="17" t="s">
        <v>17</v>
      </c>
      <c r="I10" s="17" t="s">
        <v>17</v>
      </c>
      <c r="J10" s="17" t="s">
        <v>17</v>
      </c>
      <c r="K10" s="17" t="s">
        <v>12</v>
      </c>
      <c r="L10" s="17" t="s">
        <v>17</v>
      </c>
    </row>
    <row r="11" spans="1:12" ht="15" thickBot="1" x14ac:dyDescent="0.35">
      <c r="A11" s="19">
        <v>1022</v>
      </c>
      <c r="B11" s="20" t="s">
        <v>338</v>
      </c>
      <c r="C11" s="21" t="s">
        <v>119</v>
      </c>
      <c r="D11" s="21" t="s">
        <v>26</v>
      </c>
      <c r="E11" s="21" t="s">
        <v>11</v>
      </c>
      <c r="F11" s="22"/>
      <c r="G11" s="21" t="s">
        <v>17</v>
      </c>
      <c r="H11" s="21" t="s">
        <v>17</v>
      </c>
      <c r="I11" s="21" t="s">
        <v>17</v>
      </c>
      <c r="J11" s="21" t="s">
        <v>17</v>
      </c>
      <c r="K11" s="21" t="s">
        <v>12</v>
      </c>
      <c r="L11" s="21" t="s">
        <v>17</v>
      </c>
    </row>
    <row r="12" spans="1:12" ht="27" thickBot="1" x14ac:dyDescent="0.35">
      <c r="A12" s="15">
        <v>1032</v>
      </c>
      <c r="B12" s="16" t="s">
        <v>338</v>
      </c>
      <c r="C12" s="17" t="s">
        <v>32</v>
      </c>
      <c r="D12" s="17" t="s">
        <v>26</v>
      </c>
      <c r="E12" s="17" t="s">
        <v>17</v>
      </c>
      <c r="F12" s="17" t="s">
        <v>330</v>
      </c>
      <c r="G12" s="17" t="s">
        <v>17</v>
      </c>
      <c r="H12" s="17" t="s">
        <v>332</v>
      </c>
      <c r="I12" s="17" t="s">
        <v>332</v>
      </c>
      <c r="J12" s="17" t="s">
        <v>17</v>
      </c>
      <c r="K12" s="17" t="s">
        <v>17</v>
      </c>
      <c r="L12" s="17" t="s">
        <v>17</v>
      </c>
    </row>
    <row r="13" spans="1:12" ht="27" thickBot="1" x14ac:dyDescent="0.35">
      <c r="A13" s="19">
        <v>1101</v>
      </c>
      <c r="B13" s="20" t="s">
        <v>338</v>
      </c>
      <c r="C13" s="21" t="s">
        <v>154</v>
      </c>
      <c r="D13" s="21" t="s">
        <v>26</v>
      </c>
      <c r="E13" s="21" t="s">
        <v>17</v>
      </c>
      <c r="F13" s="21" t="s">
        <v>330</v>
      </c>
      <c r="G13" s="21" t="s">
        <v>17</v>
      </c>
      <c r="H13" s="21" t="s">
        <v>332</v>
      </c>
      <c r="I13" s="21" t="s">
        <v>332</v>
      </c>
      <c r="J13" s="21" t="s">
        <v>17</v>
      </c>
      <c r="K13" s="21" t="s">
        <v>17</v>
      </c>
      <c r="L13" s="21" t="s">
        <v>17</v>
      </c>
    </row>
    <row r="14" spans="1:12" ht="27" thickBot="1" x14ac:dyDescent="0.35">
      <c r="A14" s="15">
        <v>1102</v>
      </c>
      <c r="B14" s="16" t="s">
        <v>338</v>
      </c>
      <c r="C14" s="17" t="s">
        <v>155</v>
      </c>
      <c r="D14" s="17" t="s">
        <v>26</v>
      </c>
      <c r="E14" s="17" t="s">
        <v>17</v>
      </c>
      <c r="F14" s="17" t="s">
        <v>330</v>
      </c>
      <c r="G14" s="17" t="s">
        <v>17</v>
      </c>
      <c r="H14" s="17" t="s">
        <v>332</v>
      </c>
      <c r="I14" s="17" t="s">
        <v>332</v>
      </c>
      <c r="J14" s="17" t="s">
        <v>17</v>
      </c>
      <c r="K14" s="17" t="s">
        <v>17</v>
      </c>
      <c r="L14" s="17" t="s">
        <v>17</v>
      </c>
    </row>
    <row r="15" spans="1:12" ht="40.200000000000003" thickBot="1" x14ac:dyDescent="0.35">
      <c r="A15" s="19">
        <v>1103</v>
      </c>
      <c r="B15" s="20" t="s">
        <v>338</v>
      </c>
      <c r="C15" s="21" t="s">
        <v>158</v>
      </c>
      <c r="D15" s="21" t="s">
        <v>11</v>
      </c>
      <c r="E15" s="21" t="s">
        <v>17</v>
      </c>
      <c r="F15" s="21" t="s">
        <v>330</v>
      </c>
      <c r="G15" s="21" t="s">
        <v>17</v>
      </c>
      <c r="H15" s="21" t="s">
        <v>332</v>
      </c>
      <c r="I15" s="21" t="s">
        <v>332</v>
      </c>
      <c r="J15" s="21" t="s">
        <v>17</v>
      </c>
      <c r="K15" s="21" t="s">
        <v>17</v>
      </c>
      <c r="L15" s="21" t="s">
        <v>17</v>
      </c>
    </row>
    <row r="16" spans="1:12" ht="40.200000000000003" thickBot="1" x14ac:dyDescent="0.35">
      <c r="A16" s="15">
        <v>1113</v>
      </c>
      <c r="B16" s="16" t="s">
        <v>338</v>
      </c>
      <c r="C16" s="17" t="s">
        <v>335</v>
      </c>
      <c r="D16" s="17" t="s">
        <v>11</v>
      </c>
      <c r="E16" s="17" t="s">
        <v>17</v>
      </c>
      <c r="F16" s="17" t="s">
        <v>330</v>
      </c>
      <c r="G16" s="17" t="s">
        <v>17</v>
      </c>
      <c r="H16" s="17" t="s">
        <v>332</v>
      </c>
      <c r="I16" s="17" t="s">
        <v>332</v>
      </c>
      <c r="J16" s="17" t="s">
        <v>17</v>
      </c>
      <c r="K16" s="17" t="s">
        <v>17</v>
      </c>
      <c r="L16" s="17" t="s">
        <v>17</v>
      </c>
    </row>
    <row r="17" spans="1:12" ht="15" thickBot="1" x14ac:dyDescent="0.35">
      <c r="A17" s="19">
        <v>1033</v>
      </c>
      <c r="B17" s="20" t="s">
        <v>338</v>
      </c>
      <c r="C17" s="21" t="s">
        <v>20</v>
      </c>
      <c r="D17" s="21" t="s">
        <v>11</v>
      </c>
      <c r="E17" s="21" t="s">
        <v>17</v>
      </c>
      <c r="F17" s="21" t="s">
        <v>330</v>
      </c>
      <c r="G17" s="21" t="s">
        <v>17</v>
      </c>
      <c r="H17" s="21" t="s">
        <v>332</v>
      </c>
      <c r="I17" s="21" t="s">
        <v>332</v>
      </c>
      <c r="J17" s="21" t="s">
        <v>17</v>
      </c>
      <c r="K17" s="21" t="s">
        <v>17</v>
      </c>
      <c r="L17" s="21" t="s">
        <v>17</v>
      </c>
    </row>
    <row r="18" spans="1:12" ht="27" thickBot="1" x14ac:dyDescent="0.35">
      <c r="A18" s="15">
        <v>1106</v>
      </c>
      <c r="B18" s="16" t="s">
        <v>338</v>
      </c>
      <c r="C18" s="17" t="s">
        <v>159</v>
      </c>
      <c r="D18" s="17" t="s">
        <v>11</v>
      </c>
      <c r="E18" s="17" t="s">
        <v>17</v>
      </c>
      <c r="F18" s="17" t="s">
        <v>330</v>
      </c>
      <c r="G18" s="17" t="s">
        <v>17</v>
      </c>
      <c r="H18" s="17" t="s">
        <v>332</v>
      </c>
      <c r="I18" s="17" t="s">
        <v>332</v>
      </c>
      <c r="J18" s="17" t="s">
        <v>17</v>
      </c>
      <c r="K18" s="17" t="s">
        <v>17</v>
      </c>
      <c r="L18" s="17" t="s">
        <v>17</v>
      </c>
    </row>
    <row r="19" spans="1:12" ht="27" thickBot="1" x14ac:dyDescent="0.35">
      <c r="A19" s="19">
        <v>1065</v>
      </c>
      <c r="B19" s="20" t="s">
        <v>338</v>
      </c>
      <c r="C19" s="21" t="s">
        <v>111</v>
      </c>
      <c r="D19" s="21" t="s">
        <v>11</v>
      </c>
      <c r="E19" s="21" t="s">
        <v>17</v>
      </c>
      <c r="F19" s="21" t="s">
        <v>328</v>
      </c>
      <c r="G19" s="21" t="s">
        <v>17</v>
      </c>
      <c r="H19" s="21" t="s">
        <v>332</v>
      </c>
      <c r="I19" s="21" t="s">
        <v>332</v>
      </c>
      <c r="J19" s="21" t="s">
        <v>17</v>
      </c>
      <c r="K19" s="21" t="s">
        <v>17</v>
      </c>
      <c r="L19" s="21" t="s">
        <v>17</v>
      </c>
    </row>
    <row r="20" spans="1:12" ht="27" thickBot="1" x14ac:dyDescent="0.35">
      <c r="A20" s="15">
        <v>1059</v>
      </c>
      <c r="B20" s="16" t="s">
        <v>338</v>
      </c>
      <c r="C20" s="17" t="s">
        <v>112</v>
      </c>
      <c r="D20" s="17" t="s">
        <v>11</v>
      </c>
      <c r="E20" s="17" t="s">
        <v>17</v>
      </c>
      <c r="F20" s="17" t="s">
        <v>328</v>
      </c>
      <c r="G20" s="17" t="s">
        <v>17</v>
      </c>
      <c r="H20" s="17" t="s">
        <v>332</v>
      </c>
      <c r="I20" s="17" t="s">
        <v>332</v>
      </c>
      <c r="J20" s="17" t="s">
        <v>17</v>
      </c>
      <c r="K20" s="17" t="s">
        <v>17</v>
      </c>
      <c r="L20" s="17" t="s">
        <v>17</v>
      </c>
    </row>
    <row r="21" spans="1:12" ht="27" thickBot="1" x14ac:dyDescent="0.35">
      <c r="A21" s="19">
        <v>1062</v>
      </c>
      <c r="B21" s="20" t="s">
        <v>338</v>
      </c>
      <c r="C21" s="21" t="s">
        <v>113</v>
      </c>
      <c r="D21" s="21" t="s">
        <v>11</v>
      </c>
      <c r="E21" s="21" t="s">
        <v>17</v>
      </c>
      <c r="F21" s="21" t="s">
        <v>330</v>
      </c>
      <c r="G21" s="21" t="s">
        <v>17</v>
      </c>
      <c r="H21" s="21" t="s">
        <v>332</v>
      </c>
      <c r="I21" s="21" t="s">
        <v>332</v>
      </c>
      <c r="J21" s="21" t="s">
        <v>17</v>
      </c>
      <c r="K21" s="21" t="s">
        <v>17</v>
      </c>
      <c r="L21" s="21" t="s">
        <v>17</v>
      </c>
    </row>
    <row r="22" spans="1:12" ht="27" thickBot="1" x14ac:dyDescent="0.35">
      <c r="A22" s="15">
        <v>1063</v>
      </c>
      <c r="B22" s="16" t="s">
        <v>338</v>
      </c>
      <c r="C22" s="17" t="s">
        <v>114</v>
      </c>
      <c r="D22" s="17" t="s">
        <v>11</v>
      </c>
      <c r="E22" s="17" t="s">
        <v>17</v>
      </c>
      <c r="F22" s="17" t="s">
        <v>330</v>
      </c>
      <c r="G22" s="17" t="s">
        <v>17</v>
      </c>
      <c r="H22" s="17" t="s">
        <v>332</v>
      </c>
      <c r="I22" s="17" t="s">
        <v>332</v>
      </c>
      <c r="J22" s="17" t="s">
        <v>17</v>
      </c>
      <c r="K22" s="17" t="s">
        <v>17</v>
      </c>
      <c r="L22" s="17" t="s">
        <v>17</v>
      </c>
    </row>
    <row r="23" spans="1:12" ht="53.4" thickBot="1" x14ac:dyDescent="0.35">
      <c r="A23" s="19">
        <v>1029</v>
      </c>
      <c r="B23" s="20" t="s">
        <v>338</v>
      </c>
      <c r="C23" s="21" t="s">
        <v>150</v>
      </c>
      <c r="D23" s="21" t="s">
        <v>11</v>
      </c>
      <c r="E23" s="21" t="s">
        <v>17</v>
      </c>
      <c r="F23" s="21" t="s">
        <v>329</v>
      </c>
      <c r="G23" s="21" t="s">
        <v>17</v>
      </c>
      <c r="H23" s="21" t="s">
        <v>332</v>
      </c>
      <c r="I23" s="21" t="s">
        <v>332</v>
      </c>
      <c r="J23" s="21" t="s">
        <v>17</v>
      </c>
      <c r="K23" s="21" t="s">
        <v>17</v>
      </c>
      <c r="L23" s="21" t="s">
        <v>17</v>
      </c>
    </row>
    <row r="24" spans="1:12" ht="40.200000000000003" thickBot="1" x14ac:dyDescent="0.35">
      <c r="A24" s="15">
        <v>1060</v>
      </c>
      <c r="B24" s="16" t="s">
        <v>338</v>
      </c>
      <c r="C24" s="17" t="s">
        <v>323</v>
      </c>
      <c r="D24" s="17" t="s">
        <v>11</v>
      </c>
      <c r="E24" s="17" t="s">
        <v>17</v>
      </c>
      <c r="F24" s="17" t="s">
        <v>330</v>
      </c>
      <c r="G24" s="17" t="s">
        <v>17</v>
      </c>
      <c r="H24" s="17" t="s">
        <v>332</v>
      </c>
      <c r="I24" s="17" t="s">
        <v>332</v>
      </c>
      <c r="J24" s="17" t="s">
        <v>12</v>
      </c>
      <c r="K24" s="17" t="s">
        <v>17</v>
      </c>
      <c r="L24" s="17" t="s">
        <v>17</v>
      </c>
    </row>
    <row r="25" spans="1:12" ht="27" thickBot="1" x14ac:dyDescent="0.35">
      <c r="A25" s="19">
        <v>1058</v>
      </c>
      <c r="B25" s="20" t="s">
        <v>338</v>
      </c>
      <c r="C25" s="21" t="s">
        <v>116</v>
      </c>
      <c r="D25" s="21" t="s">
        <v>11</v>
      </c>
      <c r="E25" s="21" t="s">
        <v>17</v>
      </c>
      <c r="F25" s="21" t="s">
        <v>330</v>
      </c>
      <c r="G25" s="21" t="s">
        <v>17</v>
      </c>
      <c r="H25" s="21" t="s">
        <v>332</v>
      </c>
      <c r="I25" s="21" t="s">
        <v>332</v>
      </c>
      <c r="J25" s="21" t="s">
        <v>17</v>
      </c>
      <c r="K25" s="21" t="s">
        <v>17</v>
      </c>
      <c r="L25" s="21" t="s">
        <v>17</v>
      </c>
    </row>
    <row r="26" spans="1:12" ht="53.4" thickBot="1" x14ac:dyDescent="0.35">
      <c r="A26" s="15">
        <v>1064</v>
      </c>
      <c r="B26" s="16" t="s">
        <v>338</v>
      </c>
      <c r="C26" s="17" t="s">
        <v>324</v>
      </c>
      <c r="D26" s="17" t="s">
        <v>11</v>
      </c>
      <c r="E26" s="17" t="s">
        <v>17</v>
      </c>
      <c r="F26" s="17" t="s">
        <v>330</v>
      </c>
      <c r="G26" s="17" t="s">
        <v>17</v>
      </c>
      <c r="H26" s="17" t="s">
        <v>332</v>
      </c>
      <c r="I26" s="17" t="s">
        <v>332</v>
      </c>
      <c r="J26" s="17" t="s">
        <v>17</v>
      </c>
      <c r="K26" s="17" t="s">
        <v>17</v>
      </c>
      <c r="L26" s="17" t="s">
        <v>17</v>
      </c>
    </row>
    <row r="27" spans="1:12" ht="40.200000000000003" thickBot="1" x14ac:dyDescent="0.35">
      <c r="A27" s="19">
        <v>1114</v>
      </c>
      <c r="B27" s="20" t="s">
        <v>338</v>
      </c>
      <c r="C27" s="21" t="s">
        <v>175</v>
      </c>
      <c r="D27" s="21" t="s">
        <v>11</v>
      </c>
      <c r="E27" s="21" t="s">
        <v>17</v>
      </c>
      <c r="F27" s="21" t="s">
        <v>330</v>
      </c>
      <c r="G27" s="21" t="s">
        <v>17</v>
      </c>
      <c r="H27" s="21" t="s">
        <v>332</v>
      </c>
      <c r="I27" s="21" t="s">
        <v>332</v>
      </c>
      <c r="J27" s="21" t="s">
        <v>17</v>
      </c>
      <c r="K27" s="21" t="s">
        <v>12</v>
      </c>
      <c r="L27" s="21" t="s">
        <v>17</v>
      </c>
    </row>
    <row r="28" spans="1:12" ht="27" thickBot="1" x14ac:dyDescent="0.35">
      <c r="A28" s="15">
        <v>1061</v>
      </c>
      <c r="B28" s="16" t="s">
        <v>338</v>
      </c>
      <c r="C28" s="17" t="s">
        <v>325</v>
      </c>
      <c r="D28" s="17" t="s">
        <v>11</v>
      </c>
      <c r="E28" s="17" t="s">
        <v>17</v>
      </c>
      <c r="F28" s="17" t="s">
        <v>330</v>
      </c>
      <c r="G28" s="17" t="s">
        <v>17</v>
      </c>
      <c r="H28" s="17" t="s">
        <v>332</v>
      </c>
      <c r="I28" s="17" t="s">
        <v>332</v>
      </c>
      <c r="J28" s="17" t="s">
        <v>17</v>
      </c>
      <c r="K28" s="17" t="s">
        <v>17</v>
      </c>
      <c r="L28" s="17" t="s">
        <v>17</v>
      </c>
    </row>
    <row r="29" spans="1:12" ht="53.4" thickBot="1" x14ac:dyDescent="0.35">
      <c r="A29" s="19">
        <v>1105</v>
      </c>
      <c r="B29" s="20" t="s">
        <v>338</v>
      </c>
      <c r="C29" s="21" t="s">
        <v>160</v>
      </c>
      <c r="D29" s="21" t="s">
        <v>11</v>
      </c>
      <c r="E29" s="21" t="s">
        <v>17</v>
      </c>
      <c r="F29" s="21" t="s">
        <v>330</v>
      </c>
      <c r="G29" s="21" t="s">
        <v>17</v>
      </c>
      <c r="H29" s="21" t="s">
        <v>332</v>
      </c>
      <c r="I29" s="21" t="s">
        <v>332</v>
      </c>
      <c r="J29" s="21" t="s">
        <v>17</v>
      </c>
      <c r="K29" s="21" t="s">
        <v>17</v>
      </c>
      <c r="L29" s="21" t="s">
        <v>17</v>
      </c>
    </row>
    <row r="30" spans="1:12" ht="15" thickBot="1" x14ac:dyDescent="0.35">
      <c r="A30" s="15">
        <v>1066</v>
      </c>
      <c r="B30" s="16" t="s">
        <v>338</v>
      </c>
      <c r="C30" s="17" t="s">
        <v>52</v>
      </c>
      <c r="D30" s="17" t="s">
        <v>11</v>
      </c>
      <c r="E30" s="17" t="s">
        <v>17</v>
      </c>
      <c r="F30" s="17" t="s">
        <v>328</v>
      </c>
      <c r="G30" s="17" t="s">
        <v>12</v>
      </c>
      <c r="H30" s="17" t="s">
        <v>332</v>
      </c>
      <c r="I30" s="17" t="s">
        <v>332</v>
      </c>
      <c r="J30" s="17" t="s">
        <v>17</v>
      </c>
      <c r="K30" s="17" t="s">
        <v>12</v>
      </c>
      <c r="L30" s="17" t="s">
        <v>17</v>
      </c>
    </row>
    <row r="31" spans="1:12" ht="15" thickBot="1" x14ac:dyDescent="0.35">
      <c r="A31" s="19">
        <v>1067</v>
      </c>
      <c r="B31" s="20" t="s">
        <v>338</v>
      </c>
      <c r="C31" s="21" t="s">
        <v>50</v>
      </c>
      <c r="D31" s="21" t="s">
        <v>11</v>
      </c>
      <c r="E31" s="21" t="s">
        <v>17</v>
      </c>
      <c r="F31" s="21" t="s">
        <v>328</v>
      </c>
      <c r="G31" s="21" t="s">
        <v>12</v>
      </c>
      <c r="H31" s="21" t="s">
        <v>332</v>
      </c>
      <c r="I31" s="21" t="s">
        <v>332</v>
      </c>
      <c r="J31" s="21" t="s">
        <v>17</v>
      </c>
      <c r="K31" s="21" t="s">
        <v>12</v>
      </c>
      <c r="L31" s="21" t="s">
        <v>17</v>
      </c>
    </row>
    <row r="32" spans="1:12" ht="15" thickBot="1" x14ac:dyDescent="0.35">
      <c r="A32" s="15">
        <v>1068</v>
      </c>
      <c r="B32" s="16" t="s">
        <v>338</v>
      </c>
      <c r="C32" s="17" t="s">
        <v>321</v>
      </c>
      <c r="D32" s="17" t="s">
        <v>11</v>
      </c>
      <c r="E32" s="17" t="s">
        <v>17</v>
      </c>
      <c r="F32" s="17" t="s">
        <v>328</v>
      </c>
      <c r="G32" s="17" t="s">
        <v>12</v>
      </c>
      <c r="H32" s="17" t="s">
        <v>332</v>
      </c>
      <c r="I32" s="17" t="s">
        <v>332</v>
      </c>
      <c r="J32" s="17" t="s">
        <v>17</v>
      </c>
      <c r="K32" s="17" t="s">
        <v>12</v>
      </c>
      <c r="L32" s="17" t="s">
        <v>17</v>
      </c>
    </row>
    <row r="33" spans="1:12" ht="15" thickBot="1" x14ac:dyDescent="0.35">
      <c r="A33" s="19">
        <v>1069</v>
      </c>
      <c r="B33" s="20" t="s">
        <v>338</v>
      </c>
      <c r="C33" s="21" t="s">
        <v>45</v>
      </c>
      <c r="D33" s="21" t="s">
        <v>11</v>
      </c>
      <c r="E33" s="21" t="s">
        <v>17</v>
      </c>
      <c r="F33" s="21" t="s">
        <v>328</v>
      </c>
      <c r="G33" s="21" t="s">
        <v>12</v>
      </c>
      <c r="H33" s="21" t="s">
        <v>332</v>
      </c>
      <c r="I33" s="21" t="s">
        <v>332</v>
      </c>
      <c r="J33" s="21" t="s">
        <v>17</v>
      </c>
      <c r="K33" s="21" t="s">
        <v>12</v>
      </c>
      <c r="L33" s="21" t="s">
        <v>17</v>
      </c>
    </row>
    <row r="34" spans="1:12" ht="15" thickBot="1" x14ac:dyDescent="0.35">
      <c r="A34" s="15">
        <v>1070</v>
      </c>
      <c r="B34" s="16" t="s">
        <v>338</v>
      </c>
      <c r="C34" s="17" t="s">
        <v>73</v>
      </c>
      <c r="D34" s="17" t="s">
        <v>11</v>
      </c>
      <c r="E34" s="17" t="s">
        <v>17</v>
      </c>
      <c r="F34" s="17" t="s">
        <v>330</v>
      </c>
      <c r="G34" s="17" t="s">
        <v>12</v>
      </c>
      <c r="H34" s="17" t="s">
        <v>332</v>
      </c>
      <c r="I34" s="17" t="s">
        <v>332</v>
      </c>
      <c r="J34" s="17" t="s">
        <v>17</v>
      </c>
      <c r="K34" s="17" t="s">
        <v>12</v>
      </c>
      <c r="L34" s="17" t="s">
        <v>17</v>
      </c>
    </row>
    <row r="35" spans="1:12" ht="15" thickBot="1" x14ac:dyDescent="0.35">
      <c r="A35" s="19">
        <v>1071</v>
      </c>
      <c r="B35" s="20" t="s">
        <v>338</v>
      </c>
      <c r="C35" s="21" t="s">
        <v>72</v>
      </c>
      <c r="D35" s="21" t="s">
        <v>11</v>
      </c>
      <c r="E35" s="21" t="s">
        <v>17</v>
      </c>
      <c r="F35" s="21" t="s">
        <v>330</v>
      </c>
      <c r="G35" s="21" t="s">
        <v>12</v>
      </c>
      <c r="H35" s="21" t="s">
        <v>332</v>
      </c>
      <c r="I35" s="21" t="s">
        <v>332</v>
      </c>
      <c r="J35" s="21" t="s">
        <v>17</v>
      </c>
      <c r="K35" s="21" t="s">
        <v>12</v>
      </c>
      <c r="L35" s="21" t="s">
        <v>17</v>
      </c>
    </row>
    <row r="36" spans="1:12" ht="15" thickBot="1" x14ac:dyDescent="0.35">
      <c r="A36" s="15">
        <v>1072</v>
      </c>
      <c r="B36" s="16" t="s">
        <v>338</v>
      </c>
      <c r="C36" s="17" t="s">
        <v>70</v>
      </c>
      <c r="D36" s="17" t="s">
        <v>11</v>
      </c>
      <c r="E36" s="17" t="s">
        <v>17</v>
      </c>
      <c r="F36" s="17" t="s">
        <v>330</v>
      </c>
      <c r="G36" s="17" t="s">
        <v>12</v>
      </c>
      <c r="H36" s="17" t="s">
        <v>332</v>
      </c>
      <c r="I36" s="17" t="s">
        <v>332</v>
      </c>
      <c r="J36" s="17" t="s">
        <v>17</v>
      </c>
      <c r="K36" s="17" t="s">
        <v>12</v>
      </c>
      <c r="L36" s="17" t="s">
        <v>17</v>
      </c>
    </row>
    <row r="37" spans="1:12" ht="15" thickBot="1" x14ac:dyDescent="0.35">
      <c r="A37" s="19">
        <v>1073</v>
      </c>
      <c r="B37" s="20" t="s">
        <v>338</v>
      </c>
      <c r="C37" s="21" t="s">
        <v>75</v>
      </c>
      <c r="D37" s="21" t="s">
        <v>11</v>
      </c>
      <c r="E37" s="21" t="s">
        <v>17</v>
      </c>
      <c r="F37" s="21" t="s">
        <v>330</v>
      </c>
      <c r="G37" s="21" t="s">
        <v>12</v>
      </c>
      <c r="H37" s="21" t="s">
        <v>332</v>
      </c>
      <c r="I37" s="21" t="s">
        <v>332</v>
      </c>
      <c r="J37" s="21" t="s">
        <v>17</v>
      </c>
      <c r="K37" s="21" t="s">
        <v>12</v>
      </c>
      <c r="L37" s="21" t="s">
        <v>17</v>
      </c>
    </row>
    <row r="38" spans="1:12" ht="15" thickBot="1" x14ac:dyDescent="0.35">
      <c r="A38" s="15">
        <v>1074</v>
      </c>
      <c r="B38" s="16" t="s">
        <v>338</v>
      </c>
      <c r="C38" s="17" t="s">
        <v>74</v>
      </c>
      <c r="D38" s="17" t="s">
        <v>11</v>
      </c>
      <c r="E38" s="17" t="s">
        <v>17</v>
      </c>
      <c r="F38" s="17" t="s">
        <v>330</v>
      </c>
      <c r="G38" s="17" t="s">
        <v>12</v>
      </c>
      <c r="H38" s="17" t="s">
        <v>332</v>
      </c>
      <c r="I38" s="17" t="s">
        <v>332</v>
      </c>
      <c r="J38" s="17" t="s">
        <v>17</v>
      </c>
      <c r="K38" s="17" t="s">
        <v>12</v>
      </c>
      <c r="L38" s="17" t="s">
        <v>17</v>
      </c>
    </row>
    <row r="39" spans="1:12" ht="15" thickBot="1" x14ac:dyDescent="0.35">
      <c r="A39" s="19">
        <v>1075</v>
      </c>
      <c r="B39" s="20" t="s">
        <v>338</v>
      </c>
      <c r="C39" s="21" t="s">
        <v>80</v>
      </c>
      <c r="D39" s="21" t="s">
        <v>11</v>
      </c>
      <c r="E39" s="21" t="s">
        <v>17</v>
      </c>
      <c r="F39" s="21" t="s">
        <v>328</v>
      </c>
      <c r="G39" s="21" t="s">
        <v>12</v>
      </c>
      <c r="H39" s="21" t="s">
        <v>332</v>
      </c>
      <c r="I39" s="21" t="s">
        <v>332</v>
      </c>
      <c r="J39" s="21" t="s">
        <v>17</v>
      </c>
      <c r="K39" s="21" t="s">
        <v>12</v>
      </c>
      <c r="L39" s="21" t="s">
        <v>17</v>
      </c>
    </row>
    <row r="40" spans="1:12" ht="15" thickBot="1" x14ac:dyDescent="0.35">
      <c r="A40" s="15">
        <v>1076</v>
      </c>
      <c r="B40" s="16" t="s">
        <v>338</v>
      </c>
      <c r="C40" s="17" t="s">
        <v>76</v>
      </c>
      <c r="D40" s="17" t="s">
        <v>11</v>
      </c>
      <c r="E40" s="17" t="s">
        <v>17</v>
      </c>
      <c r="F40" s="17" t="s">
        <v>330</v>
      </c>
      <c r="G40" s="17" t="s">
        <v>12</v>
      </c>
      <c r="H40" s="17" t="s">
        <v>332</v>
      </c>
      <c r="I40" s="17" t="s">
        <v>332</v>
      </c>
      <c r="J40" s="17" t="s">
        <v>17</v>
      </c>
      <c r="K40" s="17" t="s">
        <v>12</v>
      </c>
      <c r="L40" s="17" t="s">
        <v>17</v>
      </c>
    </row>
    <row r="41" spans="1:12" ht="15" thickBot="1" x14ac:dyDescent="0.35">
      <c r="A41" s="19">
        <v>1077</v>
      </c>
      <c r="B41" s="20" t="s">
        <v>338</v>
      </c>
      <c r="C41" s="21" t="s">
        <v>54</v>
      </c>
      <c r="D41" s="21" t="s">
        <v>11</v>
      </c>
      <c r="E41" s="21" t="s">
        <v>17</v>
      </c>
      <c r="F41" s="21" t="s">
        <v>328</v>
      </c>
      <c r="G41" s="21" t="s">
        <v>12</v>
      </c>
      <c r="H41" s="21" t="s">
        <v>332</v>
      </c>
      <c r="I41" s="21" t="s">
        <v>332</v>
      </c>
      <c r="J41" s="21" t="s">
        <v>17</v>
      </c>
      <c r="K41" s="21" t="s">
        <v>12</v>
      </c>
      <c r="L41" s="21" t="s">
        <v>17</v>
      </c>
    </row>
    <row r="42" spans="1:12" ht="15" thickBot="1" x14ac:dyDescent="0.35">
      <c r="A42" s="15">
        <v>1078</v>
      </c>
      <c r="B42" s="16" t="s">
        <v>338</v>
      </c>
      <c r="C42" s="17" t="s">
        <v>62</v>
      </c>
      <c r="D42" s="17" t="s">
        <v>11</v>
      </c>
      <c r="E42" s="17" t="s">
        <v>17</v>
      </c>
      <c r="F42" s="17" t="s">
        <v>330</v>
      </c>
      <c r="G42" s="17" t="s">
        <v>12</v>
      </c>
      <c r="H42" s="17" t="s">
        <v>332</v>
      </c>
      <c r="I42" s="17" t="s">
        <v>332</v>
      </c>
      <c r="J42" s="17" t="s">
        <v>17</v>
      </c>
      <c r="K42" s="17" t="s">
        <v>12</v>
      </c>
      <c r="L42" s="17" t="s">
        <v>17</v>
      </c>
    </row>
    <row r="43" spans="1:12" ht="15" thickBot="1" x14ac:dyDescent="0.35">
      <c r="A43" s="19">
        <v>1079</v>
      </c>
      <c r="B43" s="20" t="s">
        <v>338</v>
      </c>
      <c r="C43" s="21" t="s">
        <v>78</v>
      </c>
      <c r="D43" s="21" t="s">
        <v>11</v>
      </c>
      <c r="E43" s="21" t="s">
        <v>17</v>
      </c>
      <c r="F43" s="21" t="s">
        <v>330</v>
      </c>
      <c r="G43" s="21" t="s">
        <v>12</v>
      </c>
      <c r="H43" s="21" t="s">
        <v>332</v>
      </c>
      <c r="I43" s="21" t="s">
        <v>332</v>
      </c>
      <c r="J43" s="21" t="s">
        <v>17</v>
      </c>
      <c r="K43" s="21" t="s">
        <v>12</v>
      </c>
      <c r="L43" s="21" t="s">
        <v>17</v>
      </c>
    </row>
    <row r="44" spans="1:12" ht="15" thickBot="1" x14ac:dyDescent="0.35">
      <c r="A44" s="15">
        <v>1080</v>
      </c>
      <c r="B44" s="16" t="s">
        <v>338</v>
      </c>
      <c r="C44" s="17" t="s">
        <v>57</v>
      </c>
      <c r="D44" s="17" t="s">
        <v>11</v>
      </c>
      <c r="E44" s="17" t="s">
        <v>17</v>
      </c>
      <c r="F44" s="17" t="s">
        <v>330</v>
      </c>
      <c r="G44" s="17" t="s">
        <v>12</v>
      </c>
      <c r="H44" s="17" t="s">
        <v>332</v>
      </c>
      <c r="I44" s="17" t="s">
        <v>332</v>
      </c>
      <c r="J44" s="17" t="s">
        <v>17</v>
      </c>
      <c r="K44" s="17" t="s">
        <v>12</v>
      </c>
      <c r="L44" s="17" t="s">
        <v>17</v>
      </c>
    </row>
    <row r="45" spans="1:12" ht="15" thickBot="1" x14ac:dyDescent="0.35">
      <c r="A45" s="19">
        <v>1081</v>
      </c>
      <c r="B45" s="20" t="s">
        <v>338</v>
      </c>
      <c r="C45" s="21" t="s">
        <v>64</v>
      </c>
      <c r="D45" s="21" t="s">
        <v>11</v>
      </c>
      <c r="E45" s="21" t="s">
        <v>17</v>
      </c>
      <c r="F45" s="21" t="s">
        <v>330</v>
      </c>
      <c r="G45" s="21" t="s">
        <v>12</v>
      </c>
      <c r="H45" s="21" t="s">
        <v>332</v>
      </c>
      <c r="I45" s="21" t="s">
        <v>332</v>
      </c>
      <c r="J45" s="21" t="s">
        <v>17</v>
      </c>
      <c r="K45" s="21" t="s">
        <v>12</v>
      </c>
      <c r="L45" s="21" t="s">
        <v>17</v>
      </c>
    </row>
    <row r="46" spans="1:12" ht="15" thickBot="1" x14ac:dyDescent="0.35">
      <c r="A46" s="15">
        <v>1082</v>
      </c>
      <c r="B46" s="16" t="s">
        <v>338</v>
      </c>
      <c r="C46" s="17" t="s">
        <v>66</v>
      </c>
      <c r="D46" s="17" t="s">
        <v>11</v>
      </c>
      <c r="E46" s="17" t="s">
        <v>17</v>
      </c>
      <c r="F46" s="17" t="s">
        <v>330</v>
      </c>
      <c r="G46" s="17" t="s">
        <v>12</v>
      </c>
      <c r="H46" s="17" t="s">
        <v>332</v>
      </c>
      <c r="I46" s="17" t="s">
        <v>332</v>
      </c>
      <c r="J46" s="17" t="s">
        <v>17</v>
      </c>
      <c r="K46" s="17" t="s">
        <v>12</v>
      </c>
      <c r="L46" s="17" t="s">
        <v>17</v>
      </c>
    </row>
    <row r="47" spans="1:12" ht="15" thickBot="1" x14ac:dyDescent="0.35">
      <c r="A47" s="19">
        <v>1083</v>
      </c>
      <c r="B47" s="20" t="s">
        <v>338</v>
      </c>
      <c r="C47" s="21" t="s">
        <v>60</v>
      </c>
      <c r="D47" s="21" t="s">
        <v>11</v>
      </c>
      <c r="E47" s="21" t="s">
        <v>17</v>
      </c>
      <c r="F47" s="21" t="s">
        <v>328</v>
      </c>
      <c r="G47" s="21" t="s">
        <v>12</v>
      </c>
      <c r="H47" s="21" t="s">
        <v>332</v>
      </c>
      <c r="I47" s="21" t="s">
        <v>332</v>
      </c>
      <c r="J47" s="21" t="s">
        <v>17</v>
      </c>
      <c r="K47" s="21" t="s">
        <v>12</v>
      </c>
      <c r="L47" s="21" t="s">
        <v>17</v>
      </c>
    </row>
    <row r="48" spans="1:12" ht="15" thickBot="1" x14ac:dyDescent="0.35">
      <c r="A48" s="15">
        <v>1084</v>
      </c>
      <c r="B48" s="16" t="s">
        <v>338</v>
      </c>
      <c r="C48" s="17" t="s">
        <v>56</v>
      </c>
      <c r="D48" s="17" t="s">
        <v>11</v>
      </c>
      <c r="E48" s="17" t="s">
        <v>17</v>
      </c>
      <c r="F48" s="17" t="s">
        <v>328</v>
      </c>
      <c r="G48" s="17" t="s">
        <v>12</v>
      </c>
      <c r="H48" s="17" t="s">
        <v>332</v>
      </c>
      <c r="I48" s="17" t="s">
        <v>332</v>
      </c>
      <c r="J48" s="17" t="s">
        <v>17</v>
      </c>
      <c r="K48" s="17" t="s">
        <v>12</v>
      </c>
      <c r="L48" s="17" t="s">
        <v>17</v>
      </c>
    </row>
    <row r="49" spans="1:12" ht="15" thickBot="1" x14ac:dyDescent="0.35">
      <c r="A49" s="19">
        <v>1085</v>
      </c>
      <c r="B49" s="20" t="s">
        <v>338</v>
      </c>
      <c r="C49" s="21" t="s">
        <v>59</v>
      </c>
      <c r="D49" s="21" t="s">
        <v>11</v>
      </c>
      <c r="E49" s="21" t="s">
        <v>17</v>
      </c>
      <c r="F49" s="21" t="s">
        <v>328</v>
      </c>
      <c r="G49" s="21" t="s">
        <v>12</v>
      </c>
      <c r="H49" s="21" t="s">
        <v>332</v>
      </c>
      <c r="I49" s="21" t="s">
        <v>332</v>
      </c>
      <c r="J49" s="21" t="s">
        <v>17</v>
      </c>
      <c r="K49" s="21" t="s">
        <v>12</v>
      </c>
      <c r="L49" s="21" t="s">
        <v>17</v>
      </c>
    </row>
    <row r="50" spans="1:12" ht="15" thickBot="1" x14ac:dyDescent="0.35">
      <c r="A50" s="15">
        <v>1086</v>
      </c>
      <c r="B50" s="16" t="s">
        <v>338</v>
      </c>
      <c r="C50" s="17" t="s">
        <v>68</v>
      </c>
      <c r="D50" s="17" t="s">
        <v>11</v>
      </c>
      <c r="E50" s="17" t="s">
        <v>17</v>
      </c>
      <c r="F50" s="17" t="s">
        <v>328</v>
      </c>
      <c r="G50" s="17" t="s">
        <v>12</v>
      </c>
      <c r="H50" s="17" t="s">
        <v>332</v>
      </c>
      <c r="I50" s="17" t="s">
        <v>332</v>
      </c>
      <c r="J50" s="17" t="s">
        <v>17</v>
      </c>
      <c r="K50" s="17" t="s">
        <v>12</v>
      </c>
      <c r="L50" s="17" t="s">
        <v>12</v>
      </c>
    </row>
    <row r="51" spans="1:12" ht="15" thickBot="1" x14ac:dyDescent="0.35">
      <c r="A51" s="19">
        <v>1107</v>
      </c>
      <c r="B51" s="20" t="s">
        <v>338</v>
      </c>
      <c r="C51" s="21" t="s">
        <v>162</v>
      </c>
      <c r="D51" s="21" t="s">
        <v>11</v>
      </c>
      <c r="E51" s="21" t="s">
        <v>17</v>
      </c>
      <c r="F51" s="21" t="s">
        <v>328</v>
      </c>
      <c r="G51" s="21" t="s">
        <v>12</v>
      </c>
      <c r="H51" s="21" t="s">
        <v>332</v>
      </c>
      <c r="I51" s="21" t="s">
        <v>332</v>
      </c>
      <c r="J51" s="21" t="s">
        <v>17</v>
      </c>
      <c r="K51" s="21" t="s">
        <v>17</v>
      </c>
      <c r="L51" s="21" t="s">
        <v>17</v>
      </c>
    </row>
    <row r="52" spans="1:12" ht="15" thickBot="1" x14ac:dyDescent="0.35">
      <c r="A52" s="15">
        <v>1055</v>
      </c>
      <c r="B52" s="16" t="s">
        <v>338</v>
      </c>
      <c r="C52" s="17" t="s">
        <v>86</v>
      </c>
      <c r="D52" s="17" t="s">
        <v>11</v>
      </c>
      <c r="E52" s="17" t="s">
        <v>17</v>
      </c>
      <c r="F52" s="17" t="s">
        <v>331</v>
      </c>
      <c r="G52" s="17" t="s">
        <v>17</v>
      </c>
      <c r="H52" s="17" t="s">
        <v>332</v>
      </c>
      <c r="I52" s="17" t="s">
        <v>332</v>
      </c>
      <c r="J52" s="17" t="s">
        <v>17</v>
      </c>
      <c r="K52" s="17" t="s">
        <v>17</v>
      </c>
      <c r="L52" s="17" t="s">
        <v>17</v>
      </c>
    </row>
    <row r="53" spans="1:12" ht="15" thickBot="1" x14ac:dyDescent="0.35">
      <c r="A53" s="19">
        <v>1056</v>
      </c>
      <c r="B53" s="20" t="s">
        <v>338</v>
      </c>
      <c r="C53" s="21" t="s">
        <v>84</v>
      </c>
      <c r="D53" s="21" t="s">
        <v>11</v>
      </c>
      <c r="E53" s="21" t="s">
        <v>17</v>
      </c>
      <c r="F53" s="21" t="s">
        <v>331</v>
      </c>
      <c r="G53" s="21" t="s">
        <v>17</v>
      </c>
      <c r="H53" s="21" t="s">
        <v>332</v>
      </c>
      <c r="I53" s="21" t="s">
        <v>332</v>
      </c>
      <c r="J53" s="21" t="s">
        <v>17</v>
      </c>
      <c r="K53" s="21" t="s">
        <v>17</v>
      </c>
      <c r="L53" s="21" t="s">
        <v>17</v>
      </c>
    </row>
    <row r="54" spans="1:12" ht="15" thickBot="1" x14ac:dyDescent="0.35">
      <c r="A54" s="15">
        <v>1030</v>
      </c>
      <c r="B54" s="16" t="s">
        <v>338</v>
      </c>
      <c r="C54" s="17" t="s">
        <v>103</v>
      </c>
      <c r="D54" s="17" t="s">
        <v>26</v>
      </c>
      <c r="E54" s="17" t="s">
        <v>17</v>
      </c>
      <c r="F54" s="17" t="s">
        <v>330</v>
      </c>
      <c r="G54" s="17" t="s">
        <v>17</v>
      </c>
      <c r="H54" s="17" t="s">
        <v>332</v>
      </c>
      <c r="I54" s="17" t="s">
        <v>332</v>
      </c>
      <c r="J54" s="17" t="s">
        <v>17</v>
      </c>
      <c r="K54" s="17" t="s">
        <v>17</v>
      </c>
      <c r="L54" s="17" t="s">
        <v>17</v>
      </c>
    </row>
    <row r="55" spans="1:12" ht="15" thickBot="1" x14ac:dyDescent="0.35">
      <c r="A55" s="19">
        <v>1031</v>
      </c>
      <c r="B55" s="20" t="s">
        <v>338</v>
      </c>
      <c r="C55" s="21" t="s">
        <v>148</v>
      </c>
      <c r="D55" s="21" t="s">
        <v>26</v>
      </c>
      <c r="E55" s="21" t="s">
        <v>17</v>
      </c>
      <c r="F55" s="21" t="s">
        <v>330</v>
      </c>
      <c r="G55" s="21" t="s">
        <v>17</v>
      </c>
      <c r="H55" s="21" t="s">
        <v>332</v>
      </c>
      <c r="I55" s="21" t="s">
        <v>332</v>
      </c>
      <c r="J55" s="21" t="s">
        <v>17</v>
      </c>
      <c r="K55" s="21" t="s">
        <v>17</v>
      </c>
      <c r="L55" s="21" t="s">
        <v>17</v>
      </c>
    </row>
    <row r="56" spans="1:12" ht="27" thickBot="1" x14ac:dyDescent="0.35">
      <c r="A56" s="15">
        <v>1035</v>
      </c>
      <c r="B56" s="16" t="s">
        <v>338</v>
      </c>
      <c r="C56" s="17" t="s">
        <v>37</v>
      </c>
      <c r="D56" s="17" t="s">
        <v>11</v>
      </c>
      <c r="E56" s="17" t="s">
        <v>17</v>
      </c>
      <c r="F56" s="17" t="s">
        <v>330</v>
      </c>
      <c r="G56" s="17" t="s">
        <v>17</v>
      </c>
      <c r="H56" s="17" t="s">
        <v>332</v>
      </c>
      <c r="I56" s="17" t="s">
        <v>332</v>
      </c>
      <c r="J56" s="17" t="s">
        <v>17</v>
      </c>
      <c r="K56" s="17" t="s">
        <v>17</v>
      </c>
      <c r="L56" s="17" t="s">
        <v>17</v>
      </c>
    </row>
    <row r="57" spans="1:12" ht="15" thickBot="1" x14ac:dyDescent="0.35">
      <c r="A57" s="19">
        <v>1109</v>
      </c>
      <c r="B57" s="20" t="s">
        <v>338</v>
      </c>
      <c r="C57" s="21" t="s">
        <v>334</v>
      </c>
      <c r="D57" s="21" t="s">
        <v>11</v>
      </c>
      <c r="E57" s="21" t="s">
        <v>17</v>
      </c>
      <c r="F57" s="21" t="s">
        <v>330</v>
      </c>
      <c r="G57" s="21" t="s">
        <v>17</v>
      </c>
      <c r="H57" s="21" t="s">
        <v>332</v>
      </c>
      <c r="I57" s="21" t="s">
        <v>332</v>
      </c>
      <c r="J57" s="21" t="s">
        <v>17</v>
      </c>
      <c r="K57" s="21" t="s">
        <v>12</v>
      </c>
      <c r="L57" s="21" t="s">
        <v>17</v>
      </c>
    </row>
    <row r="58" spans="1:12" ht="15" thickBot="1" x14ac:dyDescent="0.35">
      <c r="A58" s="15">
        <v>1042</v>
      </c>
      <c r="B58" s="16" t="s">
        <v>338</v>
      </c>
      <c r="C58" s="17" t="s">
        <v>89</v>
      </c>
      <c r="D58" s="17" t="s">
        <v>11</v>
      </c>
      <c r="E58" s="17" t="s">
        <v>17</v>
      </c>
      <c r="F58" s="17" t="s">
        <v>328</v>
      </c>
      <c r="G58" s="17" t="s">
        <v>12</v>
      </c>
      <c r="H58" s="17" t="s">
        <v>332</v>
      </c>
      <c r="I58" s="17" t="s">
        <v>332</v>
      </c>
      <c r="J58" s="17" t="s">
        <v>17</v>
      </c>
      <c r="K58" s="17" t="s">
        <v>17</v>
      </c>
      <c r="L58" s="17" t="s">
        <v>17</v>
      </c>
    </row>
    <row r="59" spans="1:12" ht="27" thickBot="1" x14ac:dyDescent="0.35">
      <c r="A59" s="19">
        <v>1038</v>
      </c>
      <c r="B59" s="20" t="s">
        <v>338</v>
      </c>
      <c r="C59" s="21" t="s">
        <v>139</v>
      </c>
      <c r="D59" s="21" t="s">
        <v>11</v>
      </c>
      <c r="E59" s="21" t="s">
        <v>17</v>
      </c>
      <c r="F59" s="21" t="s">
        <v>329</v>
      </c>
      <c r="G59" s="21" t="s">
        <v>12</v>
      </c>
      <c r="H59" s="21" t="s">
        <v>332</v>
      </c>
      <c r="I59" s="21" t="s">
        <v>332</v>
      </c>
      <c r="J59" s="21" t="s">
        <v>17</v>
      </c>
      <c r="K59" s="21" t="s">
        <v>17</v>
      </c>
      <c r="L59" s="21" t="s">
        <v>12</v>
      </c>
    </row>
    <row r="60" spans="1:12" ht="27" thickBot="1" x14ac:dyDescent="0.35">
      <c r="A60" s="15">
        <v>1098</v>
      </c>
      <c r="B60" s="16" t="s">
        <v>338</v>
      </c>
      <c r="C60" s="17" t="s">
        <v>138</v>
      </c>
      <c r="D60" s="17" t="s">
        <v>11</v>
      </c>
      <c r="E60" s="17" t="s">
        <v>17</v>
      </c>
      <c r="F60" s="17" t="s">
        <v>329</v>
      </c>
      <c r="G60" s="17" t="s">
        <v>12</v>
      </c>
      <c r="H60" s="17" t="s">
        <v>332</v>
      </c>
      <c r="I60" s="17" t="s">
        <v>332</v>
      </c>
      <c r="J60" s="17" t="s">
        <v>17</v>
      </c>
      <c r="K60" s="17" t="s">
        <v>17</v>
      </c>
      <c r="L60" s="17" t="s">
        <v>12</v>
      </c>
    </row>
    <row r="61" spans="1:12" ht="66.599999999999994" thickBot="1" x14ac:dyDescent="0.35">
      <c r="A61" s="19">
        <v>1099</v>
      </c>
      <c r="B61" s="20" t="s">
        <v>338</v>
      </c>
      <c r="C61" s="21" t="s">
        <v>142</v>
      </c>
      <c r="D61" s="21" t="s">
        <v>11</v>
      </c>
      <c r="E61" s="21" t="s">
        <v>17</v>
      </c>
      <c r="F61" s="21" t="s">
        <v>329</v>
      </c>
      <c r="G61" s="21" t="s">
        <v>12</v>
      </c>
      <c r="H61" s="21" t="s">
        <v>332</v>
      </c>
      <c r="I61" s="21" t="s">
        <v>332</v>
      </c>
      <c r="J61" s="21" t="s">
        <v>17</v>
      </c>
      <c r="K61" s="21" t="s">
        <v>17</v>
      </c>
      <c r="L61" s="21" t="s">
        <v>12</v>
      </c>
    </row>
    <row r="62" spans="1:12" ht="66.599999999999994" thickBot="1" x14ac:dyDescent="0.35">
      <c r="A62" s="15">
        <v>1100</v>
      </c>
      <c r="B62" s="16" t="s">
        <v>338</v>
      </c>
      <c r="C62" s="17" t="s">
        <v>144</v>
      </c>
      <c r="D62" s="17" t="s">
        <v>11</v>
      </c>
      <c r="E62" s="17" t="s">
        <v>17</v>
      </c>
      <c r="F62" s="17" t="s">
        <v>329</v>
      </c>
      <c r="G62" s="17" t="s">
        <v>12</v>
      </c>
      <c r="H62" s="17" t="s">
        <v>332</v>
      </c>
      <c r="I62" s="17" t="s">
        <v>332</v>
      </c>
      <c r="J62" s="17" t="s">
        <v>17</v>
      </c>
      <c r="K62" s="17" t="s">
        <v>17</v>
      </c>
      <c r="L62" s="17" t="s">
        <v>12</v>
      </c>
    </row>
    <row r="63" spans="1:12" ht="27" thickBot="1" x14ac:dyDescent="0.35">
      <c r="A63" s="19">
        <v>1108</v>
      </c>
      <c r="B63" s="20" t="s">
        <v>338</v>
      </c>
      <c r="C63" s="21" t="s">
        <v>161</v>
      </c>
      <c r="D63" s="21" t="s">
        <v>11</v>
      </c>
      <c r="E63" s="21" t="s">
        <v>17</v>
      </c>
      <c r="F63" s="21" t="s">
        <v>329</v>
      </c>
      <c r="G63" s="21" t="s">
        <v>12</v>
      </c>
      <c r="H63" s="21" t="s">
        <v>332</v>
      </c>
      <c r="I63" s="21" t="s">
        <v>332</v>
      </c>
      <c r="J63" s="21" t="s">
        <v>17</v>
      </c>
      <c r="K63" s="21" t="s">
        <v>17</v>
      </c>
      <c r="L63" s="21" t="s">
        <v>12</v>
      </c>
    </row>
    <row r="64" spans="1:12" ht="15" thickBot="1" x14ac:dyDescent="0.35">
      <c r="A64" s="15">
        <v>1012</v>
      </c>
      <c r="B64" s="16" t="s">
        <v>338</v>
      </c>
      <c r="C64" s="17" t="s">
        <v>105</v>
      </c>
      <c r="D64" s="17" t="s">
        <v>26</v>
      </c>
      <c r="E64" s="17" t="s">
        <v>17</v>
      </c>
      <c r="F64" s="17" t="s">
        <v>329</v>
      </c>
      <c r="G64" s="17" t="s">
        <v>17</v>
      </c>
      <c r="H64" s="17" t="s">
        <v>332</v>
      </c>
      <c r="I64" s="17" t="s">
        <v>332</v>
      </c>
      <c r="J64" s="17" t="s">
        <v>17</v>
      </c>
      <c r="K64" s="17" t="s">
        <v>17</v>
      </c>
      <c r="L64" s="17" t="s">
        <v>17</v>
      </c>
    </row>
    <row r="65" spans="1:12" ht="15" thickBot="1" x14ac:dyDescent="0.35">
      <c r="A65" s="19">
        <v>1013</v>
      </c>
      <c r="B65" s="20" t="s">
        <v>338</v>
      </c>
      <c r="C65" s="21" t="s">
        <v>24</v>
      </c>
      <c r="D65" s="21" t="s">
        <v>26</v>
      </c>
      <c r="E65" s="21" t="s">
        <v>17</v>
      </c>
      <c r="F65" s="21" t="s">
        <v>329</v>
      </c>
      <c r="G65" s="21" t="s">
        <v>17</v>
      </c>
      <c r="H65" s="21" t="s">
        <v>332</v>
      </c>
      <c r="I65" s="21" t="s">
        <v>332</v>
      </c>
      <c r="J65" s="21" t="s">
        <v>17</v>
      </c>
      <c r="K65" s="21" t="s">
        <v>17</v>
      </c>
      <c r="L65" s="21" t="s">
        <v>17</v>
      </c>
    </row>
    <row r="66" spans="1:12" ht="15" thickBot="1" x14ac:dyDescent="0.35">
      <c r="A66" s="15">
        <v>1014</v>
      </c>
      <c r="B66" s="16" t="s">
        <v>338</v>
      </c>
      <c r="C66" s="17" t="s">
        <v>43</v>
      </c>
      <c r="D66" s="17" t="s">
        <v>26</v>
      </c>
      <c r="E66" s="17" t="s">
        <v>17</v>
      </c>
      <c r="F66" s="17" t="s">
        <v>329</v>
      </c>
      <c r="G66" s="17" t="s">
        <v>17</v>
      </c>
      <c r="H66" s="17" t="s">
        <v>332</v>
      </c>
      <c r="I66" s="17" t="s">
        <v>332</v>
      </c>
      <c r="J66" s="17" t="s">
        <v>17</v>
      </c>
      <c r="K66" s="17" t="s">
        <v>17</v>
      </c>
      <c r="L66" s="17" t="s">
        <v>17</v>
      </c>
    </row>
    <row r="67" spans="1:12" ht="15" thickBot="1" x14ac:dyDescent="0.35">
      <c r="A67" s="19">
        <v>1015</v>
      </c>
      <c r="B67" s="20" t="s">
        <v>338</v>
      </c>
      <c r="C67" s="21" t="s">
        <v>82</v>
      </c>
      <c r="D67" s="21" t="s">
        <v>26</v>
      </c>
      <c r="E67" s="21" t="s">
        <v>17</v>
      </c>
      <c r="F67" s="21" t="s">
        <v>329</v>
      </c>
      <c r="G67" s="21" t="s">
        <v>17</v>
      </c>
      <c r="H67" s="21" t="s">
        <v>332</v>
      </c>
      <c r="I67" s="21" t="s">
        <v>332</v>
      </c>
      <c r="J67" s="21" t="s">
        <v>17</v>
      </c>
      <c r="K67" s="21" t="s">
        <v>17</v>
      </c>
      <c r="L67" s="21" t="s">
        <v>17</v>
      </c>
    </row>
    <row r="68" spans="1:12" ht="27" thickBot="1" x14ac:dyDescent="0.35">
      <c r="A68" s="15">
        <v>1016</v>
      </c>
      <c r="B68" s="16" t="s">
        <v>338</v>
      </c>
      <c r="C68" s="17" t="s">
        <v>39</v>
      </c>
      <c r="D68" s="17" t="s">
        <v>26</v>
      </c>
      <c r="E68" s="17" t="s">
        <v>17</v>
      </c>
      <c r="F68" s="17" t="s">
        <v>329</v>
      </c>
      <c r="G68" s="17" t="s">
        <v>17</v>
      </c>
      <c r="H68" s="17" t="s">
        <v>332</v>
      </c>
      <c r="I68" s="17" t="s">
        <v>332</v>
      </c>
      <c r="J68" s="17" t="s">
        <v>17</v>
      </c>
      <c r="K68" s="17" t="s">
        <v>17</v>
      </c>
      <c r="L68" s="17" t="s">
        <v>17</v>
      </c>
    </row>
    <row r="69" spans="1:12" ht="27" thickBot="1" x14ac:dyDescent="0.35">
      <c r="A69" s="19">
        <v>1017</v>
      </c>
      <c r="B69" s="20" t="s">
        <v>338</v>
      </c>
      <c r="C69" s="21" t="s">
        <v>41</v>
      </c>
      <c r="D69" s="21" t="s">
        <v>26</v>
      </c>
      <c r="E69" s="21" t="s">
        <v>17</v>
      </c>
      <c r="F69" s="21" t="s">
        <v>329</v>
      </c>
      <c r="G69" s="21" t="s">
        <v>17</v>
      </c>
      <c r="H69" s="21" t="s">
        <v>332</v>
      </c>
      <c r="I69" s="21" t="s">
        <v>332</v>
      </c>
      <c r="J69" s="21" t="s">
        <v>17</v>
      </c>
      <c r="K69" s="21" t="s">
        <v>17</v>
      </c>
      <c r="L69" s="21" t="s">
        <v>17</v>
      </c>
    </row>
    <row r="70" spans="1:12" ht="15" thickBot="1" x14ac:dyDescent="0.35">
      <c r="A70" s="15">
        <v>1009</v>
      </c>
      <c r="B70" s="16" t="s">
        <v>338</v>
      </c>
      <c r="C70" s="17" t="s">
        <v>87</v>
      </c>
      <c r="D70" s="17" t="s">
        <v>26</v>
      </c>
      <c r="E70" s="17" t="s">
        <v>17</v>
      </c>
      <c r="F70" s="17" t="s">
        <v>328</v>
      </c>
      <c r="G70" s="17" t="s">
        <v>17</v>
      </c>
      <c r="H70" s="17" t="s">
        <v>17</v>
      </c>
      <c r="I70" s="17" t="s">
        <v>17</v>
      </c>
      <c r="J70" s="17" t="s">
        <v>17</v>
      </c>
      <c r="K70" s="17" t="s">
        <v>17</v>
      </c>
      <c r="L70" s="17" t="s">
        <v>17</v>
      </c>
    </row>
    <row r="71" spans="1:12" ht="40.200000000000003" thickBot="1" x14ac:dyDescent="0.35">
      <c r="A71" s="19">
        <v>1045</v>
      </c>
      <c r="B71" s="20" t="s">
        <v>338</v>
      </c>
      <c r="C71" s="21" t="s">
        <v>91</v>
      </c>
      <c r="D71" s="21" t="s">
        <v>11</v>
      </c>
      <c r="E71" s="21" t="s">
        <v>17</v>
      </c>
      <c r="F71" s="21" t="s">
        <v>328</v>
      </c>
      <c r="G71" s="21" t="s">
        <v>12</v>
      </c>
      <c r="H71" s="21" t="s">
        <v>332</v>
      </c>
      <c r="I71" s="21" t="s">
        <v>332</v>
      </c>
      <c r="J71" s="21" t="s">
        <v>17</v>
      </c>
      <c r="K71" s="21" t="s">
        <v>17</v>
      </c>
      <c r="L71" s="21" t="s">
        <v>17</v>
      </c>
    </row>
    <row r="72" spans="1:12" ht="40.200000000000003" thickBot="1" x14ac:dyDescent="0.35">
      <c r="A72" s="15">
        <v>1048</v>
      </c>
      <c r="B72" s="16" t="s">
        <v>338</v>
      </c>
      <c r="C72" s="17" t="s">
        <v>326</v>
      </c>
      <c r="D72" s="17" t="s">
        <v>11</v>
      </c>
      <c r="E72" s="17" t="s">
        <v>17</v>
      </c>
      <c r="F72" s="17" t="s">
        <v>328</v>
      </c>
      <c r="G72" s="17" t="s">
        <v>12</v>
      </c>
      <c r="H72" s="17" t="s">
        <v>332</v>
      </c>
      <c r="I72" s="17" t="s">
        <v>332</v>
      </c>
      <c r="J72" s="17" t="s">
        <v>17</v>
      </c>
      <c r="K72" s="17" t="s">
        <v>17</v>
      </c>
      <c r="L72" s="17" t="s">
        <v>17</v>
      </c>
    </row>
    <row r="73" spans="1:12" ht="27" thickBot="1" x14ac:dyDescent="0.35">
      <c r="A73" s="19">
        <v>1046</v>
      </c>
      <c r="B73" s="20" t="s">
        <v>338</v>
      </c>
      <c r="C73" s="21" t="s">
        <v>92</v>
      </c>
      <c r="D73" s="21" t="s">
        <v>11</v>
      </c>
      <c r="E73" s="21" t="s">
        <v>17</v>
      </c>
      <c r="F73" s="21" t="s">
        <v>329</v>
      </c>
      <c r="G73" s="21" t="s">
        <v>12</v>
      </c>
      <c r="H73" s="21" t="s">
        <v>332</v>
      </c>
      <c r="I73" s="21" t="s">
        <v>332</v>
      </c>
      <c r="J73" s="21" t="s">
        <v>17</v>
      </c>
      <c r="K73" s="21" t="s">
        <v>17</v>
      </c>
      <c r="L73" s="21" t="s">
        <v>17</v>
      </c>
    </row>
    <row r="74" spans="1:12" ht="27" thickBot="1" x14ac:dyDescent="0.35">
      <c r="A74" s="15">
        <v>1047</v>
      </c>
      <c r="B74" s="16" t="s">
        <v>338</v>
      </c>
      <c r="C74" s="17" t="s">
        <v>93</v>
      </c>
      <c r="D74" s="17" t="s">
        <v>11</v>
      </c>
      <c r="E74" s="17" t="s">
        <v>17</v>
      </c>
      <c r="F74" s="17" t="s">
        <v>329</v>
      </c>
      <c r="G74" s="17" t="s">
        <v>12</v>
      </c>
      <c r="H74" s="17" t="s">
        <v>332</v>
      </c>
      <c r="I74" s="17" t="s">
        <v>332</v>
      </c>
      <c r="J74" s="17" t="s">
        <v>17</v>
      </c>
      <c r="K74" s="17" t="s">
        <v>17</v>
      </c>
      <c r="L74" s="17" t="s">
        <v>17</v>
      </c>
    </row>
    <row r="75" spans="1:12" ht="15" thickBot="1" x14ac:dyDescent="0.35">
      <c r="A75" s="19">
        <v>1049</v>
      </c>
      <c r="B75" s="20" t="s">
        <v>338</v>
      </c>
      <c r="C75" s="21" t="s">
        <v>327</v>
      </c>
      <c r="D75" s="21" t="s">
        <v>11</v>
      </c>
      <c r="E75" s="21" t="s">
        <v>17</v>
      </c>
      <c r="F75" s="21" t="s">
        <v>328</v>
      </c>
      <c r="G75" s="21" t="s">
        <v>12</v>
      </c>
      <c r="H75" s="21" t="s">
        <v>332</v>
      </c>
      <c r="I75" s="21" t="s">
        <v>332</v>
      </c>
      <c r="J75" s="21" t="s">
        <v>17</v>
      </c>
      <c r="K75" s="21" t="s">
        <v>17</v>
      </c>
      <c r="L75" s="21" t="s">
        <v>17</v>
      </c>
    </row>
    <row r="76" spans="1:12" ht="15" thickBot="1" x14ac:dyDescent="0.35">
      <c r="A76" s="15">
        <v>1043</v>
      </c>
      <c r="B76" s="16" t="s">
        <v>338</v>
      </c>
      <c r="C76" s="17" t="s">
        <v>94</v>
      </c>
      <c r="D76" s="17" t="s">
        <v>11</v>
      </c>
      <c r="E76" s="17" t="s">
        <v>17</v>
      </c>
      <c r="F76" s="17" t="s">
        <v>328</v>
      </c>
      <c r="G76" s="17" t="s">
        <v>12</v>
      </c>
      <c r="H76" s="17" t="s">
        <v>332</v>
      </c>
      <c r="I76" s="17" t="s">
        <v>332</v>
      </c>
      <c r="J76" s="17" t="s">
        <v>17</v>
      </c>
      <c r="K76" s="17" t="s">
        <v>17</v>
      </c>
      <c r="L76" s="17" t="s">
        <v>17</v>
      </c>
    </row>
    <row r="77" spans="1:12" ht="40.200000000000003" thickBot="1" x14ac:dyDescent="0.35">
      <c r="A77" s="19">
        <v>1044</v>
      </c>
      <c r="B77" s="20" t="s">
        <v>338</v>
      </c>
      <c r="C77" s="21" t="s">
        <v>322</v>
      </c>
      <c r="D77" s="21" t="s">
        <v>11</v>
      </c>
      <c r="E77" s="21" t="s">
        <v>17</v>
      </c>
      <c r="F77" s="21" t="s">
        <v>328</v>
      </c>
      <c r="G77" s="21" t="s">
        <v>12</v>
      </c>
      <c r="H77" s="21" t="s">
        <v>332</v>
      </c>
      <c r="I77" s="21" t="s">
        <v>332</v>
      </c>
      <c r="J77" s="21" t="s">
        <v>17</v>
      </c>
      <c r="K77" s="21" t="s">
        <v>17</v>
      </c>
      <c r="L77" s="21" t="s">
        <v>17</v>
      </c>
    </row>
    <row r="78" spans="1:12" ht="15" thickBot="1" x14ac:dyDescent="0.35">
      <c r="A78" s="15">
        <v>1110</v>
      </c>
      <c r="B78" s="16" t="s">
        <v>338</v>
      </c>
      <c r="C78" s="17" t="s">
        <v>164</v>
      </c>
      <c r="D78" s="17" t="s">
        <v>11</v>
      </c>
      <c r="E78" s="17" t="s">
        <v>17</v>
      </c>
      <c r="F78" s="17" t="s">
        <v>328</v>
      </c>
      <c r="G78" s="17" t="s">
        <v>17</v>
      </c>
      <c r="H78" s="17" t="s">
        <v>332</v>
      </c>
      <c r="I78" s="17" t="s">
        <v>332</v>
      </c>
      <c r="J78" s="17" t="s">
        <v>17</v>
      </c>
      <c r="K78" s="17" t="s">
        <v>12</v>
      </c>
      <c r="L78" s="17" t="s">
        <v>17</v>
      </c>
    </row>
    <row r="79" spans="1:12" ht="15" thickBot="1" x14ac:dyDescent="0.35">
      <c r="A79" s="19">
        <v>1052</v>
      </c>
      <c r="B79" s="20" t="s">
        <v>338</v>
      </c>
      <c r="C79" s="21" t="s">
        <v>320</v>
      </c>
      <c r="D79" s="21" t="s">
        <v>11</v>
      </c>
      <c r="E79" s="21" t="s">
        <v>17</v>
      </c>
      <c r="F79" s="21" t="s">
        <v>328</v>
      </c>
      <c r="G79" s="21" t="s">
        <v>12</v>
      </c>
      <c r="H79" s="21" t="s">
        <v>12</v>
      </c>
      <c r="I79" s="21" t="s">
        <v>12</v>
      </c>
      <c r="J79" s="21" t="s">
        <v>12</v>
      </c>
      <c r="K79" s="21" t="s">
        <v>12</v>
      </c>
      <c r="L79" s="21" t="s">
        <v>12</v>
      </c>
    </row>
    <row r="80" spans="1:12" ht="15" thickBot="1" x14ac:dyDescent="0.35">
      <c r="A80" s="15">
        <v>1111</v>
      </c>
      <c r="B80" s="16" t="s">
        <v>338</v>
      </c>
      <c r="C80" s="17" t="s">
        <v>166</v>
      </c>
      <c r="D80" s="17" t="s">
        <v>26</v>
      </c>
      <c r="E80" s="17" t="s">
        <v>17</v>
      </c>
      <c r="F80" s="17" t="s">
        <v>330</v>
      </c>
      <c r="G80" s="17" t="s">
        <v>12</v>
      </c>
      <c r="H80" s="17" t="s">
        <v>332</v>
      </c>
      <c r="I80" s="17" t="s">
        <v>332</v>
      </c>
      <c r="J80" s="17" t="s">
        <v>17</v>
      </c>
      <c r="K80" s="17" t="s">
        <v>12</v>
      </c>
      <c r="L80" s="17" t="s">
        <v>12</v>
      </c>
    </row>
    <row r="81" spans="1:12" ht="15" thickBot="1" x14ac:dyDescent="0.35">
      <c r="A81" s="15">
        <v>1104</v>
      </c>
      <c r="B81" s="16" t="s">
        <v>338</v>
      </c>
      <c r="C81" s="17" t="s">
        <v>333</v>
      </c>
      <c r="D81" s="17" t="s">
        <v>11</v>
      </c>
      <c r="E81" s="17" t="s">
        <v>17</v>
      </c>
      <c r="F81" s="17" t="s">
        <v>330</v>
      </c>
      <c r="G81" s="17" t="s">
        <v>17</v>
      </c>
      <c r="H81" s="17" t="s">
        <v>332</v>
      </c>
      <c r="I81" s="17" t="s">
        <v>332</v>
      </c>
      <c r="J81" s="17" t="s">
        <v>12</v>
      </c>
      <c r="K81" s="17" t="s">
        <v>12</v>
      </c>
      <c r="L81" s="17" t="s">
        <v>17</v>
      </c>
    </row>
    <row r="82" spans="1:12" ht="53.4" thickBot="1" x14ac:dyDescent="0.35">
      <c r="A82" s="19">
        <v>1125</v>
      </c>
      <c r="B82" s="20" t="s">
        <v>338</v>
      </c>
      <c r="C82" s="21" t="s">
        <v>195</v>
      </c>
      <c r="D82" s="21" t="s">
        <v>11</v>
      </c>
      <c r="E82" s="21" t="s">
        <v>17</v>
      </c>
      <c r="F82" s="21" t="s">
        <v>328</v>
      </c>
      <c r="G82" s="21" t="s">
        <v>17</v>
      </c>
      <c r="H82" s="21" t="s">
        <v>332</v>
      </c>
      <c r="I82" s="21" t="s">
        <v>332</v>
      </c>
      <c r="J82" s="21" t="s">
        <v>17</v>
      </c>
      <c r="K82" s="21" t="s">
        <v>12</v>
      </c>
      <c r="L82" s="21" t="s">
        <v>17</v>
      </c>
    </row>
    <row r="83" spans="1:12" ht="27" thickBot="1" x14ac:dyDescent="0.35">
      <c r="A83" s="19">
        <v>1097</v>
      </c>
      <c r="B83" s="20" t="s">
        <v>338</v>
      </c>
      <c r="C83" s="21" t="s">
        <v>153</v>
      </c>
      <c r="D83" s="21" t="s">
        <v>11</v>
      </c>
      <c r="E83" s="21" t="s">
        <v>17</v>
      </c>
      <c r="F83" s="21" t="s">
        <v>330</v>
      </c>
      <c r="G83" s="21" t="s">
        <v>17</v>
      </c>
      <c r="H83" s="21" t="s">
        <v>332</v>
      </c>
      <c r="I83" s="21" t="s">
        <v>332</v>
      </c>
      <c r="J83" s="21" t="s">
        <v>17</v>
      </c>
      <c r="K83" s="21" t="s">
        <v>12</v>
      </c>
      <c r="L83" s="21" t="s">
        <v>17</v>
      </c>
    </row>
    <row r="84" spans="1:12" ht="15" thickBot="1" x14ac:dyDescent="0.35">
      <c r="A84" s="15">
        <v>1112</v>
      </c>
      <c r="B84" s="16" t="s">
        <v>338</v>
      </c>
      <c r="C84" s="17" t="s">
        <v>171</v>
      </c>
      <c r="D84" s="17" t="s">
        <v>11</v>
      </c>
      <c r="E84" s="17" t="s">
        <v>17</v>
      </c>
      <c r="F84" s="17" t="s">
        <v>331</v>
      </c>
      <c r="G84" s="17" t="s">
        <v>12</v>
      </c>
      <c r="H84" s="17" t="s">
        <v>332</v>
      </c>
      <c r="I84" s="17" t="s">
        <v>332</v>
      </c>
      <c r="J84" s="17" t="s">
        <v>17</v>
      </c>
      <c r="K84" s="17" t="s">
        <v>12</v>
      </c>
      <c r="L84" s="17" t="s">
        <v>17</v>
      </c>
    </row>
    <row r="85" spans="1:12" ht="15" thickBot="1" x14ac:dyDescent="0.35">
      <c r="A85" s="19">
        <v>1088</v>
      </c>
      <c r="B85" s="20" t="s">
        <v>338</v>
      </c>
      <c r="C85" s="21" t="s">
        <v>127</v>
      </c>
      <c r="D85" s="21" t="s">
        <v>11</v>
      </c>
      <c r="E85" s="21" t="s">
        <v>17</v>
      </c>
      <c r="F85" s="21" t="s">
        <v>330</v>
      </c>
      <c r="G85" s="21" t="s">
        <v>17</v>
      </c>
      <c r="H85" s="21" t="s">
        <v>17</v>
      </c>
      <c r="I85" s="21" t="s">
        <v>17</v>
      </c>
      <c r="J85" s="21" t="s">
        <v>17</v>
      </c>
      <c r="K85" s="21" t="s">
        <v>12</v>
      </c>
      <c r="L85" s="21" t="s">
        <v>17</v>
      </c>
    </row>
    <row r="86" spans="1:12" ht="15" thickBot="1" x14ac:dyDescent="0.35">
      <c r="A86" s="15">
        <v>1092</v>
      </c>
      <c r="B86" s="16" t="s">
        <v>338</v>
      </c>
      <c r="C86" s="17" t="s">
        <v>128</v>
      </c>
      <c r="D86" s="17" t="s">
        <v>11</v>
      </c>
      <c r="E86" s="17" t="s">
        <v>17</v>
      </c>
      <c r="F86" s="17" t="s">
        <v>330</v>
      </c>
      <c r="G86" s="17" t="s">
        <v>17</v>
      </c>
      <c r="H86" s="17" t="s">
        <v>332</v>
      </c>
      <c r="I86" s="17" t="s">
        <v>332</v>
      </c>
      <c r="J86" s="17" t="s">
        <v>17</v>
      </c>
      <c r="K86" s="17" t="s">
        <v>12</v>
      </c>
      <c r="L86" s="17" t="s">
        <v>17</v>
      </c>
    </row>
    <row r="87" spans="1:12" ht="15" thickBot="1" x14ac:dyDescent="0.35">
      <c r="A87" s="19">
        <v>1093</v>
      </c>
      <c r="B87" s="20" t="s">
        <v>338</v>
      </c>
      <c r="C87" s="21" t="s">
        <v>130</v>
      </c>
      <c r="D87" s="21" t="s">
        <v>11</v>
      </c>
      <c r="E87" s="21" t="s">
        <v>17</v>
      </c>
      <c r="F87" s="21" t="s">
        <v>330</v>
      </c>
      <c r="G87" s="21" t="s">
        <v>17</v>
      </c>
      <c r="H87" s="21" t="s">
        <v>332</v>
      </c>
      <c r="I87" s="21" t="s">
        <v>332</v>
      </c>
      <c r="J87" s="21" t="s">
        <v>17</v>
      </c>
      <c r="K87" s="21" t="s">
        <v>12</v>
      </c>
      <c r="L87" s="21" t="s">
        <v>17</v>
      </c>
    </row>
    <row r="88" spans="1:12" ht="15" thickBot="1" x14ac:dyDescent="0.35">
      <c r="A88" s="15">
        <v>1089</v>
      </c>
      <c r="B88" s="16" t="s">
        <v>338</v>
      </c>
      <c r="C88" s="17" t="s">
        <v>131</v>
      </c>
      <c r="D88" s="17" t="s">
        <v>11</v>
      </c>
      <c r="E88" s="17" t="s">
        <v>17</v>
      </c>
      <c r="F88" s="17" t="s">
        <v>330</v>
      </c>
      <c r="G88" s="17" t="s">
        <v>17</v>
      </c>
      <c r="H88" s="17" t="s">
        <v>17</v>
      </c>
      <c r="I88" s="17" t="s">
        <v>17</v>
      </c>
      <c r="J88" s="17" t="s">
        <v>17</v>
      </c>
      <c r="K88" s="17" t="s">
        <v>12</v>
      </c>
      <c r="L88" s="17" t="s">
        <v>17</v>
      </c>
    </row>
    <row r="89" spans="1:12" ht="15" thickBot="1" x14ac:dyDescent="0.35">
      <c r="A89" s="19">
        <v>1126</v>
      </c>
      <c r="B89" s="20" t="s">
        <v>338</v>
      </c>
      <c r="C89" s="21" t="s">
        <v>336</v>
      </c>
      <c r="D89" s="22"/>
      <c r="E89" s="21" t="s">
        <v>17</v>
      </c>
      <c r="F89" s="21" t="s">
        <v>329</v>
      </c>
      <c r="G89" s="21" t="s">
        <v>17</v>
      </c>
      <c r="H89" s="21" t="s">
        <v>17</v>
      </c>
      <c r="I89" s="21" t="s">
        <v>12</v>
      </c>
      <c r="J89" s="21" t="s">
        <v>12</v>
      </c>
      <c r="K89" s="21" t="s">
        <v>17</v>
      </c>
      <c r="L89" s="21" t="s">
        <v>17</v>
      </c>
    </row>
    <row r="90" spans="1:12" ht="15" thickBot="1" x14ac:dyDescent="0.35">
      <c r="A90" s="15">
        <v>1127</v>
      </c>
      <c r="B90" s="16" t="s">
        <v>338</v>
      </c>
      <c r="C90" s="17" t="s">
        <v>337</v>
      </c>
      <c r="D90" s="18"/>
      <c r="E90" s="17" t="s">
        <v>17</v>
      </c>
      <c r="F90" s="17" t="s">
        <v>329</v>
      </c>
      <c r="G90" s="17" t="s">
        <v>17</v>
      </c>
      <c r="H90" s="17" t="s">
        <v>17</v>
      </c>
      <c r="I90" s="17" t="s">
        <v>12</v>
      </c>
      <c r="J90" s="17" t="s">
        <v>12</v>
      </c>
      <c r="K90" s="17" t="s">
        <v>17</v>
      </c>
      <c r="L90" s="17" t="s">
        <v>17</v>
      </c>
    </row>
    <row r="91" spans="1:12" ht="27" thickBot="1" x14ac:dyDescent="0.35">
      <c r="A91" s="23">
        <v>1134</v>
      </c>
      <c r="B91" s="24" t="s">
        <v>338</v>
      </c>
      <c r="C91" s="25" t="s">
        <v>188</v>
      </c>
      <c r="D91" s="26"/>
      <c r="E91" s="25" t="s">
        <v>17</v>
      </c>
      <c r="F91" s="25" t="s">
        <v>331</v>
      </c>
      <c r="G91" s="25" t="s">
        <v>17</v>
      </c>
      <c r="H91" s="25" t="s">
        <v>17</v>
      </c>
      <c r="I91" s="25" t="s">
        <v>17</v>
      </c>
      <c r="J91" s="25" t="s">
        <v>12</v>
      </c>
      <c r="K91" s="25" t="s">
        <v>12</v>
      </c>
      <c r="L91" s="25" t="s">
        <v>12</v>
      </c>
    </row>
    <row r="92" spans="1:12" ht="15" thickBot="1" x14ac:dyDescent="0.35">
      <c r="A92" s="27"/>
      <c r="B92" s="27"/>
      <c r="C92" s="27"/>
      <c r="D92" s="27"/>
      <c r="E92" s="27"/>
      <c r="F92" s="27"/>
      <c r="G92" s="27"/>
      <c r="H92" s="27"/>
      <c r="I92" s="27"/>
      <c r="J92" s="27"/>
      <c r="K92" s="27"/>
      <c r="L92" s="27"/>
    </row>
    <row r="93" spans="1:12" ht="15" thickBot="1" x14ac:dyDescent="0.35">
      <c r="A93" s="27"/>
      <c r="B93" s="27"/>
      <c r="C93" s="27"/>
      <c r="D93" s="27"/>
      <c r="E93" s="27"/>
      <c r="F93" s="27"/>
      <c r="G93" s="27"/>
      <c r="H93" s="27"/>
      <c r="I93" s="27"/>
      <c r="J93" s="27"/>
      <c r="K93" s="27"/>
      <c r="L93" s="27"/>
    </row>
    <row r="94" spans="1:12" ht="15" thickBot="1" x14ac:dyDescent="0.35">
      <c r="A94" s="27"/>
      <c r="B94" s="27"/>
      <c r="C94" s="27"/>
      <c r="D94" s="27"/>
      <c r="E94" s="27"/>
      <c r="F94" s="27"/>
      <c r="G94" s="27"/>
      <c r="H94" s="27"/>
      <c r="I94" s="27"/>
      <c r="J94" s="27"/>
      <c r="K94" s="27"/>
      <c r="L94" s="27"/>
    </row>
    <row r="95" spans="1:12" ht="15" thickBot="1" x14ac:dyDescent="0.35">
      <c r="A95" s="27"/>
      <c r="B95" s="27"/>
      <c r="C95" s="27"/>
      <c r="D95" s="27"/>
      <c r="E95" s="27"/>
      <c r="F95" s="27"/>
      <c r="G95" s="27"/>
      <c r="H95" s="27"/>
      <c r="I95" s="27"/>
      <c r="J95" s="27"/>
      <c r="K95" s="27"/>
      <c r="L95" s="27"/>
    </row>
    <row r="96" spans="1:12" ht="15" thickBot="1" x14ac:dyDescent="0.35">
      <c r="A96" s="27"/>
      <c r="B96" s="27"/>
      <c r="C96" s="27"/>
      <c r="D96" s="27"/>
      <c r="E96" s="27"/>
      <c r="F96" s="27"/>
      <c r="G96" s="27"/>
      <c r="H96" s="27"/>
      <c r="I96" s="27"/>
      <c r="J96" s="27"/>
      <c r="K96" s="27"/>
      <c r="L96" s="27"/>
    </row>
    <row r="97" spans="1:12" ht="15" thickBot="1" x14ac:dyDescent="0.35">
      <c r="A97" s="27"/>
      <c r="B97" s="27"/>
      <c r="C97" s="27"/>
      <c r="D97" s="27"/>
      <c r="E97" s="27"/>
      <c r="F97" s="27"/>
      <c r="G97" s="27"/>
      <c r="H97" s="27"/>
      <c r="I97" s="27"/>
      <c r="J97" s="27"/>
      <c r="K97" s="27"/>
      <c r="L97" s="27"/>
    </row>
    <row r="98" spans="1:12" ht="15" thickBot="1" x14ac:dyDescent="0.35">
      <c r="A98" s="27"/>
      <c r="B98" s="27"/>
      <c r="C98" s="27"/>
      <c r="D98" s="27"/>
      <c r="E98" s="27"/>
      <c r="F98" s="27"/>
      <c r="G98" s="27"/>
      <c r="H98" s="27"/>
      <c r="I98" s="27"/>
      <c r="J98" s="27"/>
      <c r="K98" s="27"/>
      <c r="L98" s="27"/>
    </row>
    <row r="99" spans="1:12" ht="15" thickBot="1" x14ac:dyDescent="0.35">
      <c r="A99" s="27"/>
      <c r="B99" s="27"/>
      <c r="C99" s="27"/>
      <c r="D99" s="27"/>
      <c r="E99" s="27"/>
      <c r="F99" s="27"/>
      <c r="G99" s="27"/>
      <c r="H99" s="27"/>
      <c r="I99" s="27"/>
      <c r="J99" s="27"/>
      <c r="K99" s="27"/>
      <c r="L99" s="27"/>
    </row>
    <row r="100" spans="1:12" ht="15" thickBot="1" x14ac:dyDescent="0.35">
      <c r="A100" s="27"/>
      <c r="B100" s="27"/>
      <c r="C100" s="27"/>
      <c r="D100" s="27"/>
      <c r="E100" s="27"/>
      <c r="F100" s="27"/>
      <c r="G100" s="27"/>
      <c r="H100" s="27"/>
      <c r="I100" s="27"/>
      <c r="J100" s="27"/>
      <c r="K100" s="27"/>
      <c r="L100" s="27"/>
    </row>
    <row r="101" spans="1:12" ht="15" thickBot="1" x14ac:dyDescent="0.35">
      <c r="A101" s="27"/>
      <c r="B101" s="27"/>
      <c r="C101" s="27"/>
      <c r="D101" s="27"/>
      <c r="E101" s="27"/>
      <c r="F101" s="27"/>
      <c r="G101" s="27"/>
      <c r="H101" s="27"/>
      <c r="I101" s="27"/>
      <c r="J101" s="27"/>
      <c r="K101" s="27"/>
      <c r="L101" s="27"/>
    </row>
    <row r="102" spans="1:12" ht="15" thickBot="1" x14ac:dyDescent="0.35">
      <c r="A102" s="27"/>
      <c r="B102" s="27"/>
      <c r="C102" s="27"/>
      <c r="D102" s="27"/>
      <c r="E102" s="27"/>
      <c r="F102" s="27"/>
      <c r="G102" s="27"/>
      <c r="H102" s="27"/>
      <c r="I102" s="27"/>
      <c r="J102" s="27"/>
      <c r="K102" s="27"/>
      <c r="L102" s="27"/>
    </row>
    <row r="103" spans="1:12" ht="15" thickBot="1" x14ac:dyDescent="0.35">
      <c r="A103" s="27"/>
      <c r="B103" s="27"/>
      <c r="C103" s="27"/>
      <c r="D103" s="27"/>
      <c r="E103" s="27"/>
      <c r="F103" s="27"/>
      <c r="G103" s="27"/>
      <c r="H103" s="27"/>
      <c r="I103" s="27"/>
      <c r="J103" s="27"/>
      <c r="K103" s="27"/>
      <c r="L103" s="27"/>
    </row>
    <row r="104" spans="1:12" ht="15" thickBot="1" x14ac:dyDescent="0.35">
      <c r="A104" s="27"/>
      <c r="B104" s="27"/>
      <c r="C104" s="27"/>
      <c r="D104" s="27"/>
      <c r="E104" s="27"/>
      <c r="F104" s="27"/>
      <c r="G104" s="27"/>
      <c r="H104" s="27"/>
      <c r="I104" s="27"/>
      <c r="J104" s="27"/>
      <c r="K104" s="27"/>
      <c r="L104" s="27"/>
    </row>
    <row r="105" spans="1:12" ht="15" thickBot="1" x14ac:dyDescent="0.35">
      <c r="A105" s="27"/>
      <c r="B105" s="27"/>
      <c r="C105" s="27"/>
      <c r="D105" s="27"/>
      <c r="E105" s="27"/>
      <c r="F105" s="27"/>
      <c r="G105" s="27"/>
      <c r="H105" s="27"/>
      <c r="I105" s="27"/>
      <c r="J105" s="27"/>
      <c r="K105" s="27"/>
      <c r="L105" s="27"/>
    </row>
    <row r="106" spans="1:12" ht="15" thickBot="1" x14ac:dyDescent="0.35">
      <c r="A106" s="27"/>
      <c r="B106" s="27"/>
      <c r="C106" s="27"/>
      <c r="D106" s="27"/>
      <c r="E106" s="27"/>
      <c r="F106" s="27"/>
      <c r="G106" s="27"/>
      <c r="H106" s="27"/>
      <c r="I106" s="27"/>
      <c r="J106" s="27"/>
      <c r="K106" s="27"/>
      <c r="L106" s="27"/>
    </row>
    <row r="107" spans="1:12" ht="15" thickBot="1" x14ac:dyDescent="0.35">
      <c r="A107" s="27"/>
      <c r="B107" s="27"/>
      <c r="C107" s="27"/>
      <c r="D107" s="27"/>
      <c r="E107" s="27"/>
      <c r="F107" s="27"/>
      <c r="G107" s="27"/>
      <c r="H107" s="27"/>
      <c r="I107" s="27"/>
      <c r="J107" s="27"/>
      <c r="K107" s="27"/>
      <c r="L107" s="27"/>
    </row>
    <row r="108" spans="1:12" ht="15" thickBot="1" x14ac:dyDescent="0.35">
      <c r="A108" s="27"/>
      <c r="B108" s="27"/>
      <c r="C108" s="27"/>
      <c r="D108" s="27"/>
      <c r="E108" s="27"/>
      <c r="F108" s="27"/>
      <c r="G108" s="27"/>
      <c r="H108" s="27"/>
      <c r="I108" s="27"/>
      <c r="J108" s="27"/>
      <c r="K108" s="27"/>
      <c r="L108" s="27"/>
    </row>
    <row r="109" spans="1:12" ht="15" thickBot="1" x14ac:dyDescent="0.35">
      <c r="A109" s="27"/>
      <c r="B109" s="27"/>
      <c r="C109" s="27"/>
      <c r="D109" s="27"/>
      <c r="E109" s="27"/>
      <c r="F109" s="27"/>
      <c r="G109" s="27"/>
      <c r="H109" s="27"/>
      <c r="I109" s="27"/>
      <c r="J109" s="27"/>
      <c r="K109" s="27"/>
      <c r="L109" s="27"/>
    </row>
    <row r="110" spans="1:12" ht="15" thickBot="1" x14ac:dyDescent="0.35">
      <c r="A110" s="27"/>
      <c r="B110" s="27"/>
      <c r="C110" s="27"/>
      <c r="D110" s="27"/>
      <c r="E110" s="27"/>
      <c r="F110" s="27"/>
      <c r="G110" s="27"/>
      <c r="H110" s="27"/>
      <c r="I110" s="27"/>
      <c r="J110" s="27"/>
      <c r="K110" s="27"/>
      <c r="L110" s="27"/>
    </row>
    <row r="111" spans="1:12" ht="15" thickBot="1" x14ac:dyDescent="0.35">
      <c r="A111" s="27"/>
      <c r="B111" s="27"/>
      <c r="C111" s="27"/>
      <c r="D111" s="27"/>
      <c r="E111" s="27"/>
      <c r="F111" s="27"/>
      <c r="G111" s="27"/>
      <c r="H111" s="27"/>
      <c r="I111" s="27"/>
      <c r="J111" s="27"/>
      <c r="K111" s="27"/>
      <c r="L111" s="27"/>
    </row>
    <row r="112" spans="1:12" ht="15" thickBot="1" x14ac:dyDescent="0.35">
      <c r="A112" s="27"/>
      <c r="B112" s="27"/>
      <c r="C112" s="27"/>
      <c r="D112" s="27"/>
      <c r="E112" s="27"/>
      <c r="F112" s="27"/>
      <c r="G112" s="27"/>
      <c r="H112" s="27"/>
      <c r="I112" s="27"/>
      <c r="J112" s="27"/>
      <c r="K112" s="27"/>
      <c r="L112" s="27"/>
    </row>
    <row r="113" spans="1:12" ht="15" thickBot="1" x14ac:dyDescent="0.35">
      <c r="A113" s="27"/>
      <c r="B113" s="27"/>
      <c r="C113" s="27"/>
      <c r="D113" s="27"/>
      <c r="E113" s="27"/>
      <c r="F113" s="27"/>
      <c r="G113" s="27"/>
      <c r="H113" s="27"/>
      <c r="I113" s="27"/>
      <c r="J113" s="27"/>
      <c r="K113" s="27"/>
      <c r="L113" s="27"/>
    </row>
    <row r="114" spans="1:12" ht="15" thickBot="1" x14ac:dyDescent="0.35">
      <c r="A114" s="27"/>
      <c r="B114" s="27"/>
      <c r="C114" s="27"/>
      <c r="D114" s="27"/>
      <c r="E114" s="27"/>
      <c r="F114" s="27"/>
      <c r="G114" s="27"/>
      <c r="H114" s="27"/>
      <c r="I114" s="27"/>
      <c r="J114" s="27"/>
      <c r="K114" s="27"/>
      <c r="L114" s="27"/>
    </row>
    <row r="115" spans="1:12" ht="15" thickBot="1" x14ac:dyDescent="0.35">
      <c r="A115" s="27"/>
      <c r="B115" s="27"/>
      <c r="C115" s="27"/>
      <c r="D115" s="27"/>
      <c r="E115" s="27"/>
      <c r="F115" s="27"/>
      <c r="G115" s="27"/>
      <c r="H115" s="27"/>
      <c r="I115" s="27"/>
      <c r="J115" s="27"/>
      <c r="K115" s="27"/>
      <c r="L115" s="27"/>
    </row>
    <row r="116" spans="1:12" ht="15" thickBot="1" x14ac:dyDescent="0.35">
      <c r="A116" s="27"/>
      <c r="B116" s="27"/>
      <c r="C116" s="27"/>
      <c r="D116" s="27"/>
      <c r="E116" s="27"/>
      <c r="F116" s="27"/>
      <c r="G116" s="27"/>
      <c r="H116" s="27"/>
      <c r="I116" s="27"/>
      <c r="J116" s="27"/>
      <c r="K116" s="27"/>
      <c r="L116" s="27"/>
    </row>
    <row r="117" spans="1:12" ht="15" thickBot="1" x14ac:dyDescent="0.35">
      <c r="A117" s="27"/>
      <c r="B117" s="27"/>
      <c r="C117" s="27"/>
      <c r="D117" s="27"/>
      <c r="E117" s="27"/>
      <c r="F117" s="27"/>
      <c r="G117" s="27"/>
      <c r="H117" s="27"/>
      <c r="I117" s="27"/>
      <c r="J117" s="27"/>
      <c r="K117" s="27"/>
      <c r="L117" s="27"/>
    </row>
    <row r="118" spans="1:12" ht="15" thickBot="1" x14ac:dyDescent="0.35">
      <c r="A118" s="27"/>
      <c r="B118" s="27"/>
      <c r="C118" s="27"/>
      <c r="D118" s="27"/>
      <c r="E118" s="27"/>
      <c r="F118" s="27"/>
      <c r="G118" s="27"/>
      <c r="H118" s="27"/>
      <c r="I118" s="27"/>
      <c r="J118" s="27"/>
      <c r="K118" s="27"/>
      <c r="L118" s="27"/>
    </row>
    <row r="119" spans="1:12" ht="15" thickBot="1" x14ac:dyDescent="0.35">
      <c r="A119" s="27"/>
      <c r="B119" s="27"/>
      <c r="C119" s="27"/>
      <c r="D119" s="27"/>
      <c r="E119" s="27"/>
      <c r="F119" s="27"/>
      <c r="G119" s="27"/>
      <c r="H119" s="27"/>
      <c r="I119" s="27"/>
      <c r="J119" s="27"/>
      <c r="K119" s="27"/>
      <c r="L119" s="27"/>
    </row>
    <row r="120" spans="1:12" ht="15" thickBot="1" x14ac:dyDescent="0.35">
      <c r="A120" s="27"/>
      <c r="B120" s="27"/>
      <c r="C120" s="27"/>
      <c r="D120" s="27"/>
      <c r="E120" s="27"/>
      <c r="F120" s="27"/>
      <c r="G120" s="27"/>
      <c r="H120" s="27"/>
      <c r="I120" s="27"/>
      <c r="J120" s="27"/>
      <c r="K120" s="27"/>
      <c r="L120" s="27"/>
    </row>
    <row r="121" spans="1:12" ht="15" thickBot="1" x14ac:dyDescent="0.35">
      <c r="A121" s="27"/>
      <c r="B121" s="27"/>
      <c r="C121" s="27"/>
      <c r="D121" s="27"/>
      <c r="E121" s="27"/>
      <c r="F121" s="27"/>
      <c r="G121" s="27"/>
      <c r="H121" s="27"/>
      <c r="I121" s="27"/>
      <c r="J121" s="27"/>
      <c r="K121" s="27"/>
      <c r="L121" s="27"/>
    </row>
    <row r="122" spans="1:12" ht="15" thickBot="1" x14ac:dyDescent="0.35">
      <c r="A122" s="27"/>
      <c r="B122" s="27"/>
      <c r="C122" s="27"/>
      <c r="D122" s="27"/>
      <c r="E122" s="27"/>
      <c r="F122" s="27"/>
      <c r="G122" s="27"/>
      <c r="H122" s="27"/>
      <c r="I122" s="27"/>
      <c r="J122" s="27"/>
      <c r="K122" s="27"/>
      <c r="L122" s="27"/>
    </row>
    <row r="123" spans="1:12" ht="15" thickBot="1" x14ac:dyDescent="0.35">
      <c r="A123" s="27"/>
      <c r="B123" s="27"/>
      <c r="C123" s="27"/>
      <c r="D123" s="27"/>
      <c r="E123" s="27"/>
      <c r="F123" s="27"/>
      <c r="G123" s="27"/>
      <c r="H123" s="27"/>
      <c r="I123" s="27"/>
      <c r="J123" s="27"/>
      <c r="K123" s="27"/>
      <c r="L123" s="27"/>
    </row>
    <row r="124" spans="1:12" ht="15" thickBot="1" x14ac:dyDescent="0.35">
      <c r="A124" s="27"/>
      <c r="B124" s="27"/>
      <c r="C124" s="27"/>
      <c r="D124" s="27"/>
      <c r="E124" s="27"/>
      <c r="F124" s="27"/>
      <c r="G124" s="27"/>
      <c r="H124" s="27"/>
      <c r="I124" s="27"/>
      <c r="J124" s="27"/>
      <c r="K124" s="27"/>
      <c r="L124" s="27"/>
    </row>
    <row r="125" spans="1:12" ht="15" thickBot="1" x14ac:dyDescent="0.35">
      <c r="A125" s="27"/>
      <c r="B125" s="27"/>
      <c r="C125" s="27"/>
      <c r="D125" s="27"/>
      <c r="E125" s="27"/>
      <c r="F125" s="27"/>
      <c r="G125" s="27"/>
      <c r="H125" s="27"/>
      <c r="I125" s="27"/>
      <c r="J125" s="27"/>
      <c r="K125" s="27"/>
      <c r="L125" s="27"/>
    </row>
    <row r="126" spans="1:12" ht="15" thickBot="1" x14ac:dyDescent="0.35">
      <c r="A126" s="27"/>
      <c r="B126" s="27"/>
      <c r="C126" s="27"/>
      <c r="D126" s="27"/>
      <c r="E126" s="27"/>
      <c r="F126" s="27"/>
      <c r="G126" s="27"/>
      <c r="H126" s="27"/>
      <c r="I126" s="27"/>
      <c r="J126" s="27"/>
      <c r="K126" s="27"/>
      <c r="L126" s="27"/>
    </row>
    <row r="127" spans="1:12" ht="15" thickBot="1" x14ac:dyDescent="0.35">
      <c r="A127" s="27"/>
      <c r="B127" s="27"/>
      <c r="C127" s="27"/>
      <c r="D127" s="27"/>
      <c r="E127" s="27"/>
      <c r="F127" s="27"/>
      <c r="G127" s="27"/>
      <c r="H127" s="27"/>
      <c r="I127" s="27"/>
      <c r="J127" s="27"/>
      <c r="K127" s="27"/>
      <c r="L127" s="27"/>
    </row>
    <row r="128" spans="1:12" ht="15" thickBot="1" x14ac:dyDescent="0.35">
      <c r="A128" s="27"/>
      <c r="B128" s="27"/>
      <c r="C128" s="27"/>
      <c r="D128" s="27"/>
      <c r="E128" s="27"/>
      <c r="F128" s="27"/>
      <c r="G128" s="27"/>
      <c r="H128" s="27"/>
      <c r="I128" s="27"/>
      <c r="J128" s="27"/>
      <c r="K128" s="27"/>
      <c r="L128" s="27"/>
    </row>
    <row r="129" spans="1:12" ht="15" thickBot="1" x14ac:dyDescent="0.35">
      <c r="A129" s="27"/>
      <c r="B129" s="27"/>
      <c r="C129" s="27"/>
      <c r="D129" s="27"/>
      <c r="E129" s="27"/>
      <c r="F129" s="27"/>
      <c r="G129" s="27"/>
      <c r="H129" s="27"/>
      <c r="I129" s="27"/>
      <c r="J129" s="27"/>
      <c r="K129" s="27"/>
      <c r="L129" s="27"/>
    </row>
    <row r="130" spans="1:12" ht="15" thickBot="1" x14ac:dyDescent="0.35">
      <c r="A130" s="27"/>
      <c r="B130" s="27"/>
      <c r="C130" s="27"/>
      <c r="D130" s="27"/>
      <c r="E130" s="27"/>
      <c r="F130" s="27"/>
      <c r="G130" s="27"/>
      <c r="H130" s="27"/>
      <c r="I130" s="27"/>
      <c r="J130" s="27"/>
      <c r="K130" s="27"/>
      <c r="L130" s="27"/>
    </row>
    <row r="131" spans="1:12" ht="15" thickBot="1" x14ac:dyDescent="0.35">
      <c r="A131" s="27"/>
      <c r="B131" s="27"/>
      <c r="C131" s="27"/>
      <c r="D131" s="27"/>
      <c r="E131" s="27"/>
      <c r="F131" s="27"/>
      <c r="G131" s="27"/>
      <c r="H131" s="27"/>
      <c r="I131" s="27"/>
      <c r="J131" s="27"/>
      <c r="K131" s="27"/>
      <c r="L131" s="27"/>
    </row>
    <row r="132" spans="1:12" ht="15" thickBot="1" x14ac:dyDescent="0.35">
      <c r="A132" s="27"/>
      <c r="B132" s="27"/>
      <c r="C132" s="27"/>
      <c r="D132" s="27"/>
      <c r="E132" s="27"/>
      <c r="F132" s="27"/>
      <c r="G132" s="27"/>
      <c r="H132" s="27"/>
      <c r="I132" s="27"/>
      <c r="J132" s="27"/>
      <c r="K132" s="27"/>
      <c r="L132" s="27"/>
    </row>
    <row r="133" spans="1:12" ht="15" thickBot="1" x14ac:dyDescent="0.35">
      <c r="A133" s="27"/>
      <c r="B133" s="27"/>
      <c r="C133" s="27"/>
      <c r="D133" s="27"/>
      <c r="E133" s="27"/>
      <c r="F133" s="27"/>
      <c r="G133" s="27"/>
      <c r="H133" s="27"/>
      <c r="I133" s="27"/>
      <c r="J133" s="27"/>
      <c r="K133" s="27"/>
      <c r="L133" s="27"/>
    </row>
    <row r="134" spans="1:12" ht="15" thickBot="1" x14ac:dyDescent="0.35">
      <c r="A134" s="27"/>
      <c r="B134" s="27"/>
      <c r="C134" s="27"/>
      <c r="D134" s="27"/>
      <c r="E134" s="27"/>
      <c r="F134" s="27"/>
      <c r="G134" s="27"/>
      <c r="H134" s="27"/>
      <c r="I134" s="27"/>
      <c r="J134" s="27"/>
      <c r="K134" s="27"/>
      <c r="L134" s="27"/>
    </row>
    <row r="135" spans="1:12" ht="15" thickBot="1" x14ac:dyDescent="0.35">
      <c r="A135" s="27"/>
      <c r="B135" s="27"/>
      <c r="C135" s="27"/>
      <c r="D135" s="27"/>
      <c r="E135" s="27"/>
      <c r="F135" s="27"/>
      <c r="G135" s="27"/>
      <c r="H135" s="27"/>
      <c r="I135" s="27"/>
      <c r="J135" s="27"/>
      <c r="K135" s="27"/>
      <c r="L135" s="27"/>
    </row>
    <row r="136" spans="1:12" ht="15" thickBot="1" x14ac:dyDescent="0.35">
      <c r="A136" s="27"/>
      <c r="B136" s="27"/>
      <c r="C136" s="27"/>
      <c r="D136" s="27"/>
      <c r="E136" s="27"/>
      <c r="F136" s="27"/>
      <c r="G136" s="27"/>
      <c r="H136" s="27"/>
      <c r="I136" s="27"/>
      <c r="J136" s="27"/>
      <c r="K136" s="27"/>
      <c r="L136" s="27"/>
    </row>
    <row r="137" spans="1:12" ht="15" thickBot="1" x14ac:dyDescent="0.35">
      <c r="A137" s="27"/>
      <c r="B137" s="27"/>
      <c r="C137" s="27"/>
      <c r="D137" s="27"/>
      <c r="E137" s="27"/>
      <c r="F137" s="27"/>
      <c r="G137" s="27"/>
      <c r="H137" s="27"/>
      <c r="I137" s="27"/>
      <c r="J137" s="27"/>
      <c r="K137" s="27"/>
      <c r="L137" s="27"/>
    </row>
    <row r="138" spans="1:12" ht="15" thickBot="1" x14ac:dyDescent="0.35">
      <c r="A138" s="27"/>
      <c r="B138" s="27"/>
      <c r="C138" s="27"/>
      <c r="D138" s="27"/>
      <c r="E138" s="27"/>
      <c r="F138" s="27"/>
      <c r="G138" s="27"/>
      <c r="H138" s="27"/>
      <c r="I138" s="27"/>
      <c r="J138" s="27"/>
      <c r="K138" s="27"/>
      <c r="L138" s="27"/>
    </row>
    <row r="139" spans="1:12" ht="15" thickBot="1" x14ac:dyDescent="0.35">
      <c r="A139" s="27"/>
      <c r="B139" s="27"/>
      <c r="C139" s="27"/>
      <c r="D139" s="27"/>
      <c r="E139" s="27"/>
      <c r="F139" s="27"/>
      <c r="G139" s="27"/>
      <c r="H139" s="27"/>
      <c r="I139" s="27"/>
      <c r="J139" s="27"/>
      <c r="K139" s="27"/>
      <c r="L139" s="27"/>
    </row>
    <row r="140" spans="1:12" ht="15" thickBot="1" x14ac:dyDescent="0.35">
      <c r="A140" s="27"/>
      <c r="B140" s="27"/>
      <c r="C140" s="27"/>
      <c r="D140" s="27"/>
      <c r="E140" s="27"/>
      <c r="F140" s="27"/>
      <c r="G140" s="27"/>
      <c r="H140" s="27"/>
      <c r="I140" s="27"/>
      <c r="J140" s="27"/>
      <c r="K140" s="27"/>
      <c r="L140" s="27"/>
    </row>
    <row r="141" spans="1:12" ht="15" thickBot="1" x14ac:dyDescent="0.35">
      <c r="A141" s="27"/>
      <c r="B141" s="27"/>
      <c r="C141" s="27"/>
      <c r="D141" s="27"/>
      <c r="E141" s="27"/>
      <c r="F141" s="27"/>
      <c r="G141" s="27"/>
      <c r="H141" s="27"/>
      <c r="I141" s="27"/>
      <c r="J141" s="27"/>
      <c r="K141" s="27"/>
      <c r="L141" s="27"/>
    </row>
    <row r="142" spans="1:12" ht="15" thickBot="1" x14ac:dyDescent="0.35">
      <c r="A142" s="27"/>
      <c r="B142" s="27"/>
      <c r="C142" s="27"/>
      <c r="D142" s="27"/>
      <c r="E142" s="27"/>
      <c r="F142" s="27"/>
      <c r="G142" s="27"/>
      <c r="H142" s="27"/>
      <c r="I142" s="27"/>
      <c r="J142" s="27"/>
      <c r="K142" s="27"/>
      <c r="L142" s="27"/>
    </row>
    <row r="143" spans="1:12" ht="15" thickBot="1" x14ac:dyDescent="0.35">
      <c r="A143" s="27"/>
      <c r="B143" s="27"/>
      <c r="C143" s="27"/>
      <c r="D143" s="27"/>
      <c r="E143" s="27"/>
      <c r="F143" s="27"/>
      <c r="G143" s="27"/>
      <c r="H143" s="27"/>
      <c r="I143" s="27"/>
      <c r="J143" s="27"/>
      <c r="K143" s="27"/>
      <c r="L143" s="27"/>
    </row>
    <row r="144" spans="1:12" ht="15" thickBot="1" x14ac:dyDescent="0.35">
      <c r="A144" s="27"/>
      <c r="B144" s="27"/>
      <c r="C144" s="27"/>
      <c r="D144" s="27"/>
      <c r="E144" s="27"/>
      <c r="F144" s="27"/>
      <c r="G144" s="27"/>
      <c r="H144" s="27"/>
      <c r="I144" s="27"/>
      <c r="J144" s="27"/>
      <c r="K144" s="27"/>
      <c r="L144" s="27"/>
    </row>
    <row r="145" spans="1:12" ht="15" thickBot="1" x14ac:dyDescent="0.35">
      <c r="A145" s="27"/>
      <c r="B145" s="27"/>
      <c r="C145" s="27"/>
      <c r="D145" s="27"/>
      <c r="E145" s="27"/>
      <c r="F145" s="27"/>
      <c r="G145" s="27"/>
      <c r="H145" s="27"/>
      <c r="I145" s="27"/>
      <c r="J145" s="27"/>
      <c r="K145" s="27"/>
      <c r="L145" s="27"/>
    </row>
    <row r="146" spans="1:12" ht="15" thickBot="1" x14ac:dyDescent="0.35">
      <c r="A146" s="27"/>
      <c r="B146" s="27"/>
      <c r="C146" s="27"/>
      <c r="D146" s="27"/>
      <c r="E146" s="27"/>
      <c r="F146" s="27"/>
      <c r="G146" s="27"/>
      <c r="H146" s="27"/>
      <c r="I146" s="27"/>
      <c r="J146" s="27"/>
      <c r="K146" s="27"/>
      <c r="L146" s="27"/>
    </row>
    <row r="147" spans="1:12" ht="15" thickBot="1" x14ac:dyDescent="0.35">
      <c r="A147" s="27"/>
      <c r="B147" s="27"/>
      <c r="C147" s="27"/>
      <c r="D147" s="27"/>
      <c r="E147" s="27"/>
      <c r="F147" s="27"/>
      <c r="G147" s="27"/>
      <c r="H147" s="27"/>
      <c r="I147" s="27"/>
      <c r="J147" s="27"/>
      <c r="K147" s="27"/>
      <c r="L147" s="27"/>
    </row>
    <row r="148" spans="1:12" ht="15" thickBot="1" x14ac:dyDescent="0.35">
      <c r="A148" s="27"/>
      <c r="B148" s="27"/>
      <c r="C148" s="27"/>
      <c r="D148" s="27"/>
      <c r="E148" s="27"/>
      <c r="F148" s="27"/>
      <c r="G148" s="27"/>
      <c r="H148" s="27"/>
      <c r="I148" s="27"/>
      <c r="J148" s="27"/>
      <c r="K148" s="27"/>
      <c r="L148" s="27"/>
    </row>
    <row r="149" spans="1:12" ht="15" thickBot="1" x14ac:dyDescent="0.35">
      <c r="A149" s="27"/>
      <c r="B149" s="27"/>
      <c r="C149" s="27"/>
      <c r="D149" s="27"/>
      <c r="E149" s="27"/>
      <c r="F149" s="27"/>
      <c r="G149" s="27"/>
      <c r="H149" s="27"/>
      <c r="I149" s="27"/>
      <c r="J149" s="27"/>
      <c r="K149" s="27"/>
      <c r="L149" s="27"/>
    </row>
    <row r="150" spans="1:12" ht="15" thickBot="1" x14ac:dyDescent="0.35">
      <c r="A150" s="27"/>
      <c r="B150" s="27"/>
      <c r="C150" s="27"/>
      <c r="D150" s="27"/>
      <c r="E150" s="27"/>
      <c r="F150" s="27"/>
      <c r="G150" s="27"/>
      <c r="H150" s="27"/>
      <c r="I150" s="27"/>
      <c r="J150" s="27"/>
      <c r="K150" s="27"/>
      <c r="L150" s="27"/>
    </row>
    <row r="151" spans="1:12" ht="15" thickBot="1" x14ac:dyDescent="0.35">
      <c r="A151" s="27"/>
      <c r="B151" s="27"/>
      <c r="C151" s="27"/>
      <c r="D151" s="27"/>
      <c r="E151" s="27"/>
      <c r="F151" s="27"/>
      <c r="G151" s="27"/>
      <c r="H151" s="27"/>
      <c r="I151" s="27"/>
      <c r="J151" s="27"/>
      <c r="K151" s="27"/>
      <c r="L151" s="27"/>
    </row>
    <row r="152" spans="1:12" ht="15" thickBot="1" x14ac:dyDescent="0.35">
      <c r="A152" s="27"/>
      <c r="B152" s="27"/>
      <c r="C152" s="27"/>
      <c r="D152" s="27"/>
      <c r="E152" s="27"/>
      <c r="F152" s="27"/>
      <c r="G152" s="27"/>
      <c r="H152" s="27"/>
      <c r="I152" s="27"/>
      <c r="J152" s="27"/>
      <c r="K152" s="27"/>
      <c r="L152" s="27"/>
    </row>
    <row r="153" spans="1:12" ht="15" thickBot="1" x14ac:dyDescent="0.35">
      <c r="A153" s="27"/>
      <c r="B153" s="27"/>
      <c r="C153" s="27"/>
      <c r="D153" s="27"/>
      <c r="E153" s="27"/>
      <c r="F153" s="27"/>
      <c r="G153" s="27"/>
      <c r="H153" s="27"/>
      <c r="I153" s="27"/>
      <c r="J153" s="27"/>
      <c r="K153" s="27"/>
      <c r="L153" s="27"/>
    </row>
    <row r="154" spans="1:12" ht="15" thickBot="1" x14ac:dyDescent="0.35">
      <c r="A154" s="27"/>
      <c r="B154" s="27"/>
      <c r="C154" s="27"/>
      <c r="D154" s="27"/>
      <c r="E154" s="27"/>
      <c r="F154" s="27"/>
      <c r="G154" s="27"/>
      <c r="H154" s="27"/>
      <c r="I154" s="27"/>
      <c r="J154" s="27"/>
      <c r="K154" s="27"/>
      <c r="L154" s="27"/>
    </row>
    <row r="155" spans="1:12" ht="15" thickBot="1" x14ac:dyDescent="0.35">
      <c r="A155" s="27"/>
      <c r="B155" s="27"/>
      <c r="C155" s="27"/>
      <c r="D155" s="27"/>
      <c r="E155" s="27"/>
      <c r="F155" s="27"/>
      <c r="G155" s="27"/>
      <c r="H155" s="27"/>
      <c r="I155" s="27"/>
      <c r="J155" s="27"/>
      <c r="K155" s="27"/>
      <c r="L155" s="27"/>
    </row>
    <row r="156" spans="1:12" ht="15" thickBot="1" x14ac:dyDescent="0.35">
      <c r="A156" s="27"/>
      <c r="B156" s="27"/>
      <c r="C156" s="27"/>
      <c r="D156" s="27"/>
      <c r="E156" s="27"/>
      <c r="F156" s="27"/>
      <c r="G156" s="27"/>
      <c r="H156" s="27"/>
      <c r="I156" s="27"/>
      <c r="J156" s="27"/>
      <c r="K156" s="27"/>
      <c r="L156" s="27"/>
    </row>
    <row r="157" spans="1:12" ht="15" thickBot="1" x14ac:dyDescent="0.35">
      <c r="A157" s="27"/>
      <c r="B157" s="27"/>
      <c r="C157" s="27"/>
      <c r="D157" s="27"/>
      <c r="E157" s="27"/>
      <c r="F157" s="27"/>
      <c r="G157" s="27"/>
      <c r="H157" s="27"/>
      <c r="I157" s="27"/>
      <c r="J157" s="27"/>
      <c r="K157" s="27"/>
      <c r="L157" s="27"/>
    </row>
    <row r="158" spans="1:12" ht="15" thickBot="1" x14ac:dyDescent="0.35">
      <c r="A158" s="27"/>
      <c r="B158" s="27"/>
      <c r="C158" s="27"/>
      <c r="D158" s="27"/>
      <c r="E158" s="27"/>
      <c r="F158" s="27"/>
      <c r="G158" s="27"/>
      <c r="H158" s="27"/>
      <c r="I158" s="27"/>
      <c r="J158" s="27"/>
      <c r="K158" s="27"/>
      <c r="L158" s="27"/>
    </row>
    <row r="159" spans="1:12" ht="15" thickBot="1" x14ac:dyDescent="0.35">
      <c r="A159" s="27"/>
      <c r="B159" s="27"/>
      <c r="C159" s="27"/>
      <c r="D159" s="27"/>
      <c r="E159" s="27"/>
      <c r="F159" s="27"/>
      <c r="G159" s="27"/>
      <c r="H159" s="27"/>
      <c r="I159" s="27"/>
      <c r="J159" s="27"/>
      <c r="K159" s="27"/>
      <c r="L159" s="27"/>
    </row>
    <row r="160" spans="1:12" ht="15" thickBot="1" x14ac:dyDescent="0.35">
      <c r="A160" s="27"/>
      <c r="B160" s="27"/>
      <c r="C160" s="27"/>
      <c r="D160" s="27"/>
      <c r="E160" s="27"/>
      <c r="F160" s="27"/>
      <c r="G160" s="27"/>
      <c r="H160" s="27"/>
      <c r="I160" s="27"/>
      <c r="J160" s="27"/>
      <c r="K160" s="27"/>
      <c r="L160" s="27"/>
    </row>
    <row r="161" spans="1:12" ht="15" thickBot="1" x14ac:dyDescent="0.35">
      <c r="A161" s="27"/>
      <c r="B161" s="27"/>
      <c r="C161" s="27"/>
      <c r="D161" s="27"/>
      <c r="E161" s="27"/>
      <c r="F161" s="27"/>
      <c r="G161" s="27"/>
      <c r="H161" s="27"/>
      <c r="I161" s="27"/>
      <c r="J161" s="27"/>
      <c r="K161" s="27"/>
      <c r="L161" s="27"/>
    </row>
    <row r="162" spans="1:12" ht="15" thickBot="1" x14ac:dyDescent="0.35">
      <c r="A162" s="27"/>
      <c r="B162" s="27"/>
      <c r="C162" s="27"/>
      <c r="D162" s="27"/>
      <c r="E162" s="27"/>
      <c r="F162" s="27"/>
      <c r="G162" s="27"/>
      <c r="H162" s="27"/>
      <c r="I162" s="27"/>
      <c r="J162" s="27"/>
      <c r="K162" s="27"/>
      <c r="L162" s="27"/>
    </row>
    <row r="163" spans="1:12" ht="15" thickBot="1" x14ac:dyDescent="0.35">
      <c r="A163" s="27"/>
      <c r="B163" s="27"/>
      <c r="C163" s="27"/>
      <c r="D163" s="27"/>
      <c r="E163" s="27"/>
      <c r="F163" s="27"/>
      <c r="G163" s="27"/>
      <c r="H163" s="27"/>
      <c r="I163" s="27"/>
      <c r="J163" s="27"/>
      <c r="K163" s="27"/>
      <c r="L163" s="27"/>
    </row>
    <row r="164" spans="1:12" ht="15" thickBot="1" x14ac:dyDescent="0.35">
      <c r="A164" s="27"/>
      <c r="B164" s="27"/>
      <c r="C164" s="27"/>
      <c r="D164" s="27"/>
      <c r="E164" s="27"/>
      <c r="F164" s="27"/>
      <c r="G164" s="27"/>
      <c r="H164" s="27"/>
      <c r="I164" s="27"/>
      <c r="J164" s="27"/>
      <c r="K164" s="27"/>
      <c r="L164" s="27"/>
    </row>
    <row r="165" spans="1:12" ht="15" thickBot="1" x14ac:dyDescent="0.35">
      <c r="A165" s="27"/>
      <c r="B165" s="27"/>
      <c r="C165" s="27"/>
      <c r="D165" s="27"/>
      <c r="E165" s="27"/>
      <c r="F165" s="27"/>
      <c r="G165" s="27"/>
      <c r="H165" s="27"/>
      <c r="I165" s="27"/>
      <c r="J165" s="27"/>
      <c r="K165" s="27"/>
      <c r="L165" s="27"/>
    </row>
    <row r="166" spans="1:12" ht="15" thickBot="1" x14ac:dyDescent="0.35">
      <c r="A166" s="27"/>
      <c r="B166" s="27"/>
      <c r="C166" s="27"/>
      <c r="D166" s="27"/>
      <c r="E166" s="27"/>
      <c r="F166" s="27"/>
      <c r="G166" s="27"/>
      <c r="H166" s="27"/>
      <c r="I166" s="27"/>
      <c r="J166" s="27"/>
      <c r="K166" s="27"/>
      <c r="L166" s="27"/>
    </row>
    <row r="167" spans="1:12" ht="15" thickBot="1" x14ac:dyDescent="0.35">
      <c r="A167" s="27"/>
      <c r="B167" s="27"/>
      <c r="C167" s="27"/>
      <c r="D167" s="27"/>
      <c r="E167" s="27"/>
      <c r="F167" s="27"/>
      <c r="G167" s="27"/>
      <c r="H167" s="27"/>
      <c r="I167" s="27"/>
      <c r="J167" s="27"/>
      <c r="K167" s="27"/>
      <c r="L167" s="27"/>
    </row>
    <row r="168" spans="1:12" ht="15" thickBot="1" x14ac:dyDescent="0.35">
      <c r="A168" s="27"/>
      <c r="B168" s="27"/>
      <c r="C168" s="27"/>
      <c r="D168" s="27"/>
      <c r="E168" s="27"/>
      <c r="F168" s="27"/>
      <c r="G168" s="27"/>
      <c r="H168" s="27"/>
      <c r="I168" s="27"/>
      <c r="J168" s="27"/>
      <c r="K168" s="27"/>
      <c r="L168" s="27"/>
    </row>
    <row r="169" spans="1:12" ht="15" thickBot="1" x14ac:dyDescent="0.35">
      <c r="A169" s="27"/>
      <c r="B169" s="27"/>
      <c r="C169" s="27"/>
      <c r="D169" s="27"/>
      <c r="E169" s="27"/>
      <c r="F169" s="27"/>
      <c r="G169" s="27"/>
      <c r="H169" s="27"/>
      <c r="I169" s="27"/>
      <c r="J169" s="27"/>
      <c r="K169" s="27"/>
      <c r="L169" s="27"/>
    </row>
    <row r="170" spans="1:12" ht="15" thickBot="1" x14ac:dyDescent="0.35">
      <c r="A170" s="27"/>
      <c r="B170" s="27"/>
      <c r="C170" s="27"/>
      <c r="D170" s="27"/>
      <c r="E170" s="27"/>
      <c r="F170" s="27"/>
      <c r="G170" s="27"/>
      <c r="H170" s="27"/>
      <c r="I170" s="27"/>
      <c r="J170" s="27"/>
      <c r="K170" s="27"/>
      <c r="L170" s="27"/>
    </row>
    <row r="171" spans="1:12" ht="15" thickBot="1" x14ac:dyDescent="0.35">
      <c r="A171" s="27"/>
      <c r="B171" s="27"/>
      <c r="C171" s="27"/>
      <c r="D171" s="27"/>
      <c r="E171" s="27"/>
      <c r="F171" s="27"/>
      <c r="G171" s="27"/>
      <c r="H171" s="27"/>
      <c r="I171" s="27"/>
      <c r="J171" s="27"/>
      <c r="K171" s="27"/>
      <c r="L171" s="27"/>
    </row>
    <row r="172" spans="1:12" ht="15" thickBot="1" x14ac:dyDescent="0.35">
      <c r="A172" s="27"/>
      <c r="B172" s="27"/>
      <c r="C172" s="27"/>
      <c r="D172" s="27"/>
      <c r="E172" s="27"/>
      <c r="F172" s="27"/>
      <c r="G172" s="27"/>
      <c r="H172" s="27"/>
      <c r="I172" s="27"/>
      <c r="J172" s="27"/>
      <c r="K172" s="27"/>
      <c r="L172" s="27"/>
    </row>
    <row r="173" spans="1:12" ht="15" thickBot="1" x14ac:dyDescent="0.35">
      <c r="A173" s="27"/>
      <c r="B173" s="27"/>
      <c r="C173" s="27"/>
      <c r="D173" s="27"/>
      <c r="E173" s="27"/>
      <c r="F173" s="27"/>
      <c r="G173" s="27"/>
      <c r="H173" s="27"/>
      <c r="I173" s="27"/>
      <c r="J173" s="27"/>
      <c r="K173" s="27"/>
      <c r="L173" s="27"/>
    </row>
    <row r="174" spans="1:12" ht="15" thickBot="1" x14ac:dyDescent="0.35">
      <c r="A174" s="27"/>
      <c r="B174" s="27"/>
      <c r="C174" s="27"/>
      <c r="D174" s="27"/>
      <c r="E174" s="27"/>
      <c r="F174" s="27"/>
      <c r="G174" s="27"/>
      <c r="H174" s="27"/>
      <c r="I174" s="27"/>
      <c r="J174" s="27"/>
      <c r="K174" s="27"/>
      <c r="L174" s="27"/>
    </row>
    <row r="175" spans="1:12" ht="15" thickBot="1" x14ac:dyDescent="0.35">
      <c r="A175" s="27"/>
      <c r="B175" s="27"/>
      <c r="C175" s="27"/>
      <c r="D175" s="27"/>
      <c r="E175" s="27"/>
      <c r="F175" s="27"/>
      <c r="G175" s="27"/>
      <c r="H175" s="27"/>
      <c r="I175" s="27"/>
      <c r="J175" s="27"/>
      <c r="K175" s="27"/>
      <c r="L175" s="27"/>
    </row>
    <row r="176" spans="1:12" ht="15" thickBot="1" x14ac:dyDescent="0.35">
      <c r="A176" s="27"/>
      <c r="B176" s="27"/>
      <c r="C176" s="27"/>
      <c r="D176" s="27"/>
      <c r="E176" s="27"/>
      <c r="F176" s="27"/>
      <c r="G176" s="27"/>
      <c r="H176" s="27"/>
      <c r="I176" s="27"/>
      <c r="J176" s="27"/>
      <c r="K176" s="27"/>
      <c r="L176" s="27"/>
    </row>
    <row r="177" spans="1:12" ht="15" thickBot="1" x14ac:dyDescent="0.35">
      <c r="A177" s="27"/>
      <c r="B177" s="27"/>
      <c r="C177" s="27"/>
      <c r="D177" s="27"/>
      <c r="E177" s="27"/>
      <c r="F177" s="27"/>
      <c r="G177" s="27"/>
      <c r="H177" s="27"/>
      <c r="I177" s="27"/>
      <c r="J177" s="27"/>
      <c r="K177" s="27"/>
      <c r="L177" s="27"/>
    </row>
    <row r="178" spans="1:12" ht="15" thickBot="1" x14ac:dyDescent="0.35">
      <c r="A178" s="27"/>
      <c r="B178" s="27"/>
      <c r="C178" s="27"/>
      <c r="D178" s="27"/>
      <c r="E178" s="27"/>
      <c r="F178" s="27"/>
      <c r="G178" s="27"/>
      <c r="H178" s="27"/>
      <c r="I178" s="27"/>
      <c r="J178" s="27"/>
      <c r="K178" s="27"/>
      <c r="L178" s="27"/>
    </row>
    <row r="179" spans="1:12" ht="15" thickBot="1" x14ac:dyDescent="0.35">
      <c r="A179" s="27"/>
      <c r="B179" s="27"/>
      <c r="C179" s="27"/>
      <c r="D179" s="27"/>
      <c r="E179" s="27"/>
      <c r="F179" s="27"/>
      <c r="G179" s="27"/>
      <c r="H179" s="27"/>
      <c r="I179" s="27"/>
      <c r="J179" s="27"/>
      <c r="K179" s="27"/>
      <c r="L179" s="27"/>
    </row>
    <row r="180" spans="1:12" ht="15" thickBot="1" x14ac:dyDescent="0.35">
      <c r="A180" s="27"/>
      <c r="B180" s="27"/>
      <c r="C180" s="27"/>
      <c r="D180" s="27"/>
      <c r="E180" s="27"/>
      <c r="F180" s="27"/>
      <c r="G180" s="27"/>
      <c r="H180" s="27"/>
      <c r="I180" s="27"/>
      <c r="J180" s="27"/>
      <c r="K180" s="27"/>
      <c r="L180" s="27"/>
    </row>
    <row r="181" spans="1:12" ht="15" thickBot="1" x14ac:dyDescent="0.35">
      <c r="A181" s="27"/>
      <c r="B181" s="27"/>
      <c r="C181" s="27"/>
      <c r="D181" s="27"/>
      <c r="E181" s="27"/>
      <c r="F181" s="27"/>
      <c r="G181" s="27"/>
      <c r="H181" s="27"/>
      <c r="I181" s="27"/>
      <c r="J181" s="27"/>
      <c r="K181" s="27"/>
      <c r="L181" s="27"/>
    </row>
    <row r="182" spans="1:12" ht="15" thickBot="1" x14ac:dyDescent="0.35">
      <c r="A182" s="27"/>
      <c r="B182" s="27"/>
      <c r="C182" s="27"/>
      <c r="D182" s="27"/>
      <c r="E182" s="27"/>
      <c r="F182" s="27"/>
      <c r="G182" s="27"/>
      <c r="H182" s="27"/>
      <c r="I182" s="27"/>
      <c r="J182" s="27"/>
      <c r="K182" s="27"/>
      <c r="L182" s="27"/>
    </row>
    <row r="183" spans="1:12" ht="15" thickBot="1" x14ac:dyDescent="0.35">
      <c r="A183" s="27"/>
      <c r="B183" s="27"/>
      <c r="C183" s="27"/>
      <c r="D183" s="27"/>
      <c r="E183" s="27"/>
      <c r="F183" s="27"/>
      <c r="G183" s="27"/>
      <c r="H183" s="27"/>
      <c r="I183" s="27"/>
      <c r="J183" s="27"/>
      <c r="K183" s="27"/>
      <c r="L183" s="27"/>
    </row>
    <row r="184" spans="1:12" ht="15" thickBot="1" x14ac:dyDescent="0.35">
      <c r="A184" s="27"/>
      <c r="B184" s="27"/>
      <c r="C184" s="27"/>
      <c r="D184" s="27"/>
      <c r="E184" s="27"/>
      <c r="F184" s="27"/>
      <c r="G184" s="27"/>
      <c r="H184" s="27"/>
      <c r="I184" s="27"/>
      <c r="J184" s="27"/>
      <c r="K184" s="27"/>
      <c r="L184" s="27"/>
    </row>
    <row r="185" spans="1:12" ht="15" thickBot="1" x14ac:dyDescent="0.35">
      <c r="A185" s="27"/>
      <c r="B185" s="27"/>
      <c r="C185" s="27"/>
      <c r="D185" s="27"/>
      <c r="E185" s="27"/>
      <c r="F185" s="27"/>
      <c r="G185" s="27"/>
      <c r="H185" s="27"/>
      <c r="I185" s="27"/>
      <c r="J185" s="27"/>
      <c r="K185" s="27"/>
      <c r="L185" s="27"/>
    </row>
    <row r="186" spans="1:12" ht="15" thickBot="1" x14ac:dyDescent="0.35">
      <c r="A186" s="27"/>
      <c r="B186" s="27"/>
      <c r="C186" s="27"/>
      <c r="D186" s="27"/>
      <c r="E186" s="27"/>
      <c r="F186" s="27"/>
      <c r="G186" s="27"/>
      <c r="H186" s="27"/>
      <c r="I186" s="27"/>
      <c r="J186" s="27"/>
      <c r="K186" s="27"/>
      <c r="L186" s="27"/>
    </row>
    <row r="187" spans="1:12" ht="15" thickBot="1" x14ac:dyDescent="0.35">
      <c r="A187" s="27"/>
      <c r="B187" s="27"/>
      <c r="C187" s="27"/>
      <c r="D187" s="27"/>
      <c r="E187" s="27"/>
      <c r="F187" s="27"/>
      <c r="G187" s="27"/>
      <c r="H187" s="27"/>
      <c r="I187" s="27"/>
      <c r="J187" s="27"/>
      <c r="K187" s="27"/>
      <c r="L187" s="27"/>
    </row>
    <row r="188" spans="1:12" ht="15" thickBot="1" x14ac:dyDescent="0.35">
      <c r="A188" s="27"/>
      <c r="B188" s="27"/>
      <c r="C188" s="27"/>
      <c r="D188" s="27"/>
      <c r="E188" s="27"/>
      <c r="F188" s="27"/>
      <c r="G188" s="27"/>
      <c r="H188" s="27"/>
      <c r="I188" s="27"/>
      <c r="J188" s="27"/>
      <c r="K188" s="27"/>
      <c r="L188" s="27"/>
    </row>
    <row r="189" spans="1:12" ht="15" thickBot="1" x14ac:dyDescent="0.35">
      <c r="A189" s="27"/>
      <c r="B189" s="27"/>
      <c r="C189" s="27"/>
      <c r="D189" s="27"/>
      <c r="E189" s="27"/>
      <c r="F189" s="27"/>
      <c r="G189" s="27"/>
      <c r="H189" s="27"/>
      <c r="I189" s="27"/>
      <c r="J189" s="27"/>
      <c r="K189" s="27"/>
      <c r="L189" s="27"/>
    </row>
    <row r="190" spans="1:12" ht="15" thickBot="1" x14ac:dyDescent="0.35">
      <c r="A190" s="27"/>
      <c r="B190" s="27"/>
      <c r="C190" s="27"/>
      <c r="D190" s="27"/>
      <c r="E190" s="27"/>
      <c r="F190" s="27"/>
      <c r="G190" s="27"/>
      <c r="H190" s="27"/>
      <c r="I190" s="27"/>
      <c r="J190" s="27"/>
      <c r="K190" s="27"/>
      <c r="L190" s="27"/>
    </row>
    <row r="191" spans="1:12" ht="15" thickBot="1" x14ac:dyDescent="0.35">
      <c r="A191" s="27"/>
      <c r="B191" s="27"/>
      <c r="C191" s="27"/>
      <c r="D191" s="27"/>
      <c r="E191" s="27"/>
      <c r="F191" s="27"/>
      <c r="G191" s="27"/>
      <c r="H191" s="27"/>
      <c r="I191" s="27"/>
      <c r="J191" s="27"/>
      <c r="K191" s="27"/>
      <c r="L191" s="27"/>
    </row>
    <row r="192" spans="1:12" ht="15" thickBot="1" x14ac:dyDescent="0.35">
      <c r="A192" s="27"/>
      <c r="B192" s="27"/>
      <c r="C192" s="27"/>
      <c r="D192" s="27"/>
      <c r="E192" s="27"/>
      <c r="F192" s="27"/>
      <c r="G192" s="27"/>
      <c r="H192" s="27"/>
      <c r="I192" s="27"/>
      <c r="J192" s="27"/>
      <c r="K192" s="27"/>
      <c r="L192" s="27"/>
    </row>
    <row r="193" spans="1:12" ht="15" thickBot="1" x14ac:dyDescent="0.35">
      <c r="A193" s="27"/>
      <c r="B193" s="27"/>
      <c r="C193" s="27"/>
      <c r="D193" s="27"/>
      <c r="E193" s="27"/>
      <c r="F193" s="27"/>
      <c r="G193" s="27"/>
      <c r="H193" s="27"/>
      <c r="I193" s="27"/>
      <c r="J193" s="27"/>
      <c r="K193" s="27"/>
      <c r="L193" s="27"/>
    </row>
    <row r="194" spans="1:12" ht="15" thickBot="1" x14ac:dyDescent="0.35">
      <c r="A194" s="27"/>
      <c r="B194" s="27"/>
      <c r="C194" s="27"/>
      <c r="D194" s="27"/>
      <c r="E194" s="27"/>
      <c r="F194" s="27"/>
      <c r="G194" s="27"/>
      <c r="H194" s="27"/>
      <c r="I194" s="27"/>
      <c r="J194" s="27"/>
      <c r="K194" s="27"/>
      <c r="L194" s="27"/>
    </row>
    <row r="195" spans="1:12" ht="15" thickBot="1" x14ac:dyDescent="0.35">
      <c r="A195" s="27"/>
      <c r="B195" s="27"/>
      <c r="C195" s="27"/>
      <c r="D195" s="27"/>
      <c r="E195" s="27"/>
      <c r="F195" s="27"/>
      <c r="G195" s="27"/>
      <c r="H195" s="27"/>
      <c r="I195" s="27"/>
      <c r="J195" s="27"/>
      <c r="K195" s="27"/>
      <c r="L195" s="27"/>
    </row>
    <row r="196" spans="1:12" ht="15" thickBot="1" x14ac:dyDescent="0.35">
      <c r="A196" s="27"/>
      <c r="B196" s="27"/>
      <c r="C196" s="27"/>
      <c r="D196" s="27"/>
      <c r="E196" s="27"/>
      <c r="F196" s="27"/>
      <c r="G196" s="27"/>
      <c r="H196" s="27"/>
      <c r="I196" s="27"/>
      <c r="J196" s="27"/>
      <c r="K196" s="27"/>
      <c r="L196" s="27"/>
    </row>
    <row r="197" spans="1:12" ht="15" thickBot="1" x14ac:dyDescent="0.35">
      <c r="A197" s="27"/>
      <c r="B197" s="27"/>
      <c r="C197" s="27"/>
      <c r="D197" s="27"/>
      <c r="E197" s="27"/>
      <c r="F197" s="27"/>
      <c r="G197" s="27"/>
      <c r="H197" s="27"/>
      <c r="I197" s="27"/>
      <c r="J197" s="27"/>
      <c r="K197" s="27"/>
      <c r="L197" s="27"/>
    </row>
    <row r="198" spans="1:12" ht="15" thickBot="1" x14ac:dyDescent="0.35">
      <c r="A198" s="27"/>
      <c r="B198" s="27"/>
      <c r="C198" s="27"/>
      <c r="D198" s="27"/>
      <c r="E198" s="27"/>
      <c r="F198" s="27"/>
      <c r="G198" s="27"/>
      <c r="H198" s="27"/>
      <c r="I198" s="27"/>
      <c r="J198" s="27"/>
      <c r="K198" s="27"/>
      <c r="L198" s="27"/>
    </row>
    <row r="199" spans="1:12" ht="15" thickBot="1" x14ac:dyDescent="0.35">
      <c r="A199" s="27"/>
      <c r="B199" s="27"/>
      <c r="C199" s="27"/>
      <c r="D199" s="27"/>
      <c r="E199" s="27"/>
      <c r="F199" s="27"/>
      <c r="G199" s="27"/>
      <c r="H199" s="27"/>
      <c r="I199" s="27"/>
      <c r="J199" s="27"/>
      <c r="K199" s="27"/>
      <c r="L199" s="27"/>
    </row>
    <row r="200" spans="1:12" ht="15" thickBot="1" x14ac:dyDescent="0.35">
      <c r="A200" s="27"/>
      <c r="B200" s="27"/>
      <c r="C200" s="27"/>
      <c r="D200" s="27"/>
      <c r="E200" s="27"/>
      <c r="F200" s="27"/>
      <c r="G200" s="27"/>
      <c r="H200" s="27"/>
      <c r="I200" s="27"/>
      <c r="J200" s="27"/>
      <c r="K200" s="27"/>
      <c r="L200" s="27"/>
    </row>
    <row r="201" spans="1:12" ht="15" thickBot="1" x14ac:dyDescent="0.35">
      <c r="A201" s="27"/>
      <c r="B201" s="27"/>
      <c r="C201" s="27"/>
      <c r="D201" s="27"/>
      <c r="E201" s="27"/>
      <c r="F201" s="27"/>
      <c r="G201" s="27"/>
      <c r="H201" s="27"/>
      <c r="I201" s="27"/>
      <c r="J201" s="27"/>
      <c r="K201" s="27"/>
      <c r="L201" s="27"/>
    </row>
    <row r="202" spans="1:12" ht="15" thickBot="1" x14ac:dyDescent="0.35">
      <c r="A202" s="27"/>
      <c r="B202" s="27"/>
      <c r="C202" s="27"/>
      <c r="D202" s="27"/>
      <c r="E202" s="27"/>
      <c r="F202" s="27"/>
      <c r="G202" s="27"/>
      <c r="H202" s="27"/>
      <c r="I202" s="27"/>
      <c r="J202" s="27"/>
      <c r="K202" s="27"/>
      <c r="L202" s="27"/>
    </row>
    <row r="203" spans="1:12" ht="15" thickBot="1" x14ac:dyDescent="0.35">
      <c r="A203" s="27"/>
      <c r="B203" s="27"/>
      <c r="C203" s="27"/>
      <c r="D203" s="27"/>
      <c r="E203" s="27"/>
      <c r="F203" s="27"/>
      <c r="G203" s="27"/>
      <c r="H203" s="27"/>
      <c r="I203" s="27"/>
      <c r="J203" s="27"/>
      <c r="K203" s="27"/>
      <c r="L203" s="27"/>
    </row>
    <row r="204" spans="1:12" ht="15" thickBot="1" x14ac:dyDescent="0.35">
      <c r="A204" s="27"/>
      <c r="B204" s="27"/>
      <c r="C204" s="27"/>
      <c r="D204" s="27"/>
      <c r="E204" s="27"/>
      <c r="F204" s="27"/>
      <c r="G204" s="27"/>
      <c r="H204" s="27"/>
      <c r="I204" s="27"/>
      <c r="J204" s="27"/>
      <c r="K204" s="27"/>
      <c r="L204" s="27"/>
    </row>
    <row r="205" spans="1:12" ht="15" thickBot="1" x14ac:dyDescent="0.35">
      <c r="A205" s="27"/>
      <c r="B205" s="27"/>
      <c r="C205" s="27"/>
      <c r="D205" s="27"/>
      <c r="E205" s="27"/>
      <c r="F205" s="27"/>
      <c r="G205" s="27"/>
      <c r="H205" s="27"/>
      <c r="I205" s="27"/>
      <c r="J205" s="27"/>
      <c r="K205" s="27"/>
      <c r="L205" s="27"/>
    </row>
    <row r="206" spans="1:12" ht="15" thickBot="1" x14ac:dyDescent="0.35">
      <c r="A206" s="27"/>
      <c r="B206" s="27"/>
      <c r="C206" s="27"/>
      <c r="D206" s="27"/>
      <c r="E206" s="27"/>
      <c r="F206" s="27"/>
      <c r="G206" s="27"/>
      <c r="H206" s="27"/>
      <c r="I206" s="27"/>
      <c r="J206" s="27"/>
      <c r="K206" s="27"/>
      <c r="L206" s="27"/>
    </row>
    <row r="207" spans="1:12" ht="15" thickBot="1" x14ac:dyDescent="0.35">
      <c r="A207" s="27"/>
      <c r="B207" s="27"/>
      <c r="C207" s="27"/>
      <c r="D207" s="27"/>
      <c r="E207" s="27"/>
      <c r="F207" s="27"/>
      <c r="G207" s="27"/>
      <c r="H207" s="27"/>
      <c r="I207" s="27"/>
      <c r="J207" s="27"/>
      <c r="K207" s="27"/>
      <c r="L207" s="27"/>
    </row>
    <row r="208" spans="1:12" ht="15" thickBot="1" x14ac:dyDescent="0.35">
      <c r="A208" s="27"/>
      <c r="B208" s="27"/>
      <c r="C208" s="27"/>
      <c r="D208" s="27"/>
      <c r="E208" s="27"/>
      <c r="F208" s="27"/>
      <c r="G208" s="27"/>
      <c r="H208" s="27"/>
      <c r="I208" s="27"/>
      <c r="J208" s="27"/>
      <c r="K208" s="27"/>
      <c r="L208" s="27"/>
    </row>
    <row r="209" spans="1:12" ht="15" thickBot="1" x14ac:dyDescent="0.35">
      <c r="A209" s="27"/>
      <c r="B209" s="27"/>
      <c r="C209" s="27"/>
      <c r="D209" s="27"/>
      <c r="E209" s="27"/>
      <c r="F209" s="27"/>
      <c r="G209" s="27"/>
      <c r="H209" s="27"/>
      <c r="I209" s="27"/>
      <c r="J209" s="27"/>
      <c r="K209" s="27"/>
      <c r="L209" s="27"/>
    </row>
    <row r="210" spans="1:12" ht="15" thickBot="1" x14ac:dyDescent="0.35">
      <c r="A210" s="27"/>
      <c r="B210" s="27"/>
      <c r="C210" s="27"/>
      <c r="D210" s="27"/>
      <c r="E210" s="27"/>
      <c r="F210" s="27"/>
      <c r="G210" s="27"/>
      <c r="H210" s="27"/>
      <c r="I210" s="27"/>
      <c r="J210" s="27"/>
      <c r="K210" s="27"/>
      <c r="L210" s="27"/>
    </row>
    <row r="211" spans="1:12" ht="15" thickBot="1" x14ac:dyDescent="0.35">
      <c r="A211" s="27"/>
      <c r="B211" s="27"/>
      <c r="C211" s="27"/>
      <c r="D211" s="27"/>
      <c r="E211" s="27"/>
      <c r="F211" s="27"/>
      <c r="G211" s="27"/>
      <c r="H211" s="27"/>
      <c r="I211" s="27"/>
      <c r="J211" s="27"/>
      <c r="K211" s="27"/>
      <c r="L211" s="27"/>
    </row>
    <row r="212" spans="1:12" ht="15" thickBot="1" x14ac:dyDescent="0.35">
      <c r="A212" s="27"/>
      <c r="B212" s="27"/>
      <c r="C212" s="27"/>
      <c r="D212" s="27"/>
      <c r="E212" s="27"/>
      <c r="F212" s="27"/>
      <c r="G212" s="27"/>
      <c r="H212" s="27"/>
      <c r="I212" s="27"/>
      <c r="J212" s="27"/>
      <c r="K212" s="27"/>
      <c r="L212" s="27"/>
    </row>
    <row r="213" spans="1:12" ht="15" thickBot="1" x14ac:dyDescent="0.35">
      <c r="A213" s="27"/>
      <c r="B213" s="27"/>
      <c r="C213" s="27"/>
      <c r="D213" s="27"/>
      <c r="E213" s="27"/>
      <c r="F213" s="27"/>
      <c r="G213" s="27"/>
      <c r="H213" s="27"/>
      <c r="I213" s="27"/>
      <c r="J213" s="27"/>
      <c r="K213" s="27"/>
      <c r="L213" s="27"/>
    </row>
    <row r="214" spans="1:12" ht="15" thickBot="1" x14ac:dyDescent="0.35">
      <c r="A214" s="27"/>
      <c r="B214" s="27"/>
      <c r="C214" s="27"/>
      <c r="D214" s="27"/>
      <c r="E214" s="27"/>
      <c r="F214" s="27"/>
      <c r="G214" s="27"/>
      <c r="H214" s="27"/>
      <c r="I214" s="27"/>
      <c r="J214" s="27"/>
      <c r="K214" s="27"/>
      <c r="L214" s="27"/>
    </row>
    <row r="215" spans="1:12" ht="15" thickBot="1" x14ac:dyDescent="0.35">
      <c r="A215" s="27"/>
      <c r="B215" s="27"/>
      <c r="C215" s="27"/>
      <c r="D215" s="27"/>
      <c r="E215" s="27"/>
      <c r="F215" s="27"/>
      <c r="G215" s="27"/>
      <c r="H215" s="27"/>
      <c r="I215" s="27"/>
      <c r="J215" s="27"/>
      <c r="K215" s="27"/>
      <c r="L215" s="27"/>
    </row>
    <row r="216" spans="1:12" ht="15" thickBot="1" x14ac:dyDescent="0.35">
      <c r="A216" s="27"/>
      <c r="B216" s="27"/>
      <c r="C216" s="27"/>
      <c r="D216" s="27"/>
      <c r="E216" s="27"/>
      <c r="F216" s="27"/>
      <c r="G216" s="27"/>
      <c r="H216" s="27"/>
      <c r="I216" s="27"/>
      <c r="J216" s="27"/>
      <c r="K216" s="27"/>
      <c r="L216" s="27"/>
    </row>
    <row r="217" spans="1:12" ht="15" thickBot="1" x14ac:dyDescent="0.35">
      <c r="A217" s="27"/>
      <c r="B217" s="27"/>
      <c r="C217" s="27"/>
      <c r="D217" s="27"/>
      <c r="E217" s="27"/>
      <c r="F217" s="27"/>
      <c r="G217" s="27"/>
      <c r="H217" s="27"/>
      <c r="I217" s="27"/>
      <c r="J217" s="27"/>
      <c r="K217" s="27"/>
      <c r="L217" s="27"/>
    </row>
    <row r="218" spans="1:12" ht="15" thickBot="1" x14ac:dyDescent="0.35">
      <c r="A218" s="27"/>
      <c r="B218" s="27"/>
      <c r="C218" s="27"/>
      <c r="D218" s="27"/>
      <c r="E218" s="27"/>
      <c r="F218" s="27"/>
      <c r="G218" s="27"/>
      <c r="H218" s="27"/>
      <c r="I218" s="27"/>
      <c r="J218" s="27"/>
      <c r="K218" s="27"/>
      <c r="L218" s="27"/>
    </row>
    <row r="219" spans="1:12" ht="15" thickBot="1" x14ac:dyDescent="0.35">
      <c r="A219" s="27"/>
      <c r="B219" s="27"/>
      <c r="C219" s="27"/>
      <c r="D219" s="27"/>
      <c r="E219" s="27"/>
      <c r="F219" s="27"/>
      <c r="G219" s="27"/>
      <c r="H219" s="27"/>
      <c r="I219" s="27"/>
      <c r="J219" s="27"/>
      <c r="K219" s="27"/>
      <c r="L219" s="27"/>
    </row>
    <row r="220" spans="1:12" ht="15" thickBot="1" x14ac:dyDescent="0.35">
      <c r="A220" s="27"/>
      <c r="B220" s="27"/>
      <c r="C220" s="27"/>
      <c r="D220" s="27"/>
      <c r="E220" s="27"/>
      <c r="F220" s="27"/>
      <c r="G220" s="27"/>
      <c r="H220" s="27"/>
      <c r="I220" s="27"/>
      <c r="J220" s="27"/>
      <c r="K220" s="27"/>
      <c r="L220" s="27"/>
    </row>
    <row r="221" spans="1:12" ht="15" thickBot="1" x14ac:dyDescent="0.35">
      <c r="A221" s="27"/>
      <c r="B221" s="27"/>
      <c r="C221" s="27"/>
      <c r="D221" s="27"/>
      <c r="E221" s="27"/>
      <c r="F221" s="27"/>
      <c r="G221" s="27"/>
      <c r="H221" s="27"/>
      <c r="I221" s="27"/>
      <c r="J221" s="27"/>
      <c r="K221" s="27"/>
      <c r="L221" s="27"/>
    </row>
    <row r="222" spans="1:12" ht="15" thickBot="1" x14ac:dyDescent="0.35">
      <c r="A222" s="27"/>
      <c r="B222" s="27"/>
      <c r="C222" s="27"/>
      <c r="D222" s="27"/>
      <c r="E222" s="27"/>
      <c r="F222" s="27"/>
      <c r="G222" s="27"/>
      <c r="H222" s="27"/>
      <c r="I222" s="27"/>
      <c r="J222" s="27"/>
      <c r="K222" s="27"/>
      <c r="L222" s="27"/>
    </row>
    <row r="223" spans="1:12" ht="15" thickBot="1" x14ac:dyDescent="0.35">
      <c r="A223" s="27"/>
      <c r="B223" s="27"/>
      <c r="C223" s="27"/>
      <c r="D223" s="27"/>
      <c r="E223" s="27"/>
      <c r="F223" s="27"/>
      <c r="G223" s="27"/>
      <c r="H223" s="27"/>
      <c r="I223" s="27"/>
      <c r="J223" s="27"/>
      <c r="K223" s="27"/>
      <c r="L223" s="27"/>
    </row>
    <row r="224" spans="1:12" ht="15" thickBot="1" x14ac:dyDescent="0.35">
      <c r="A224" s="27"/>
      <c r="B224" s="27"/>
      <c r="C224" s="27"/>
      <c r="D224" s="27"/>
      <c r="E224" s="27"/>
      <c r="F224" s="27"/>
      <c r="G224" s="27"/>
      <c r="H224" s="27"/>
      <c r="I224" s="27"/>
      <c r="J224" s="27"/>
      <c r="K224" s="27"/>
      <c r="L224" s="27"/>
    </row>
    <row r="225" spans="1:12" ht="15" thickBot="1" x14ac:dyDescent="0.35">
      <c r="A225" s="27"/>
      <c r="B225" s="27"/>
      <c r="C225" s="27"/>
      <c r="D225" s="27"/>
      <c r="E225" s="27"/>
      <c r="F225" s="27"/>
      <c r="G225" s="27"/>
      <c r="H225" s="27"/>
      <c r="I225" s="27"/>
      <c r="J225" s="27"/>
      <c r="K225" s="27"/>
      <c r="L225" s="27"/>
    </row>
    <row r="226" spans="1:12" ht="15" thickBot="1" x14ac:dyDescent="0.35">
      <c r="A226" s="27"/>
      <c r="B226" s="27"/>
      <c r="C226" s="27"/>
      <c r="D226" s="27"/>
      <c r="E226" s="27"/>
      <c r="F226" s="27"/>
      <c r="G226" s="27"/>
      <c r="H226" s="27"/>
      <c r="I226" s="27"/>
      <c r="J226" s="27"/>
      <c r="K226" s="27"/>
      <c r="L226" s="27"/>
    </row>
    <row r="227" spans="1:12" ht="15" thickBot="1" x14ac:dyDescent="0.35">
      <c r="A227" s="27"/>
      <c r="B227" s="27"/>
      <c r="C227" s="27"/>
      <c r="D227" s="27"/>
      <c r="E227" s="27"/>
      <c r="F227" s="27"/>
      <c r="G227" s="27"/>
      <c r="H227" s="27"/>
      <c r="I227" s="27"/>
      <c r="J227" s="27"/>
      <c r="K227" s="27"/>
      <c r="L227" s="27"/>
    </row>
    <row r="228" spans="1:12" ht="15" thickBot="1" x14ac:dyDescent="0.35">
      <c r="A228" s="27"/>
      <c r="B228" s="27"/>
      <c r="C228" s="27"/>
      <c r="D228" s="27"/>
      <c r="E228" s="27"/>
      <c r="F228" s="27"/>
      <c r="G228" s="27"/>
      <c r="H228" s="27"/>
      <c r="I228" s="27"/>
      <c r="J228" s="27"/>
      <c r="K228" s="27"/>
      <c r="L228" s="27"/>
    </row>
    <row r="229" spans="1:12" ht="15" thickBot="1" x14ac:dyDescent="0.35">
      <c r="A229" s="27"/>
      <c r="B229" s="27"/>
      <c r="C229" s="27"/>
      <c r="D229" s="27"/>
      <c r="E229" s="27"/>
      <c r="F229" s="27"/>
      <c r="G229" s="27"/>
      <c r="H229" s="27"/>
      <c r="I229" s="27"/>
      <c r="J229" s="27"/>
      <c r="K229" s="27"/>
      <c r="L229" s="27"/>
    </row>
    <row r="230" spans="1:12" ht="15" thickBot="1" x14ac:dyDescent="0.35">
      <c r="A230" s="27"/>
      <c r="B230" s="27"/>
      <c r="C230" s="27"/>
      <c r="D230" s="27"/>
      <c r="E230" s="27"/>
      <c r="F230" s="27"/>
      <c r="G230" s="27"/>
      <c r="H230" s="27"/>
      <c r="I230" s="27"/>
      <c r="J230" s="27"/>
      <c r="K230" s="27"/>
      <c r="L230" s="27"/>
    </row>
    <row r="231" spans="1:12" ht="15" thickBot="1" x14ac:dyDescent="0.35">
      <c r="A231" s="27"/>
      <c r="B231" s="27"/>
      <c r="C231" s="27"/>
      <c r="D231" s="27"/>
      <c r="E231" s="27"/>
      <c r="F231" s="27"/>
      <c r="G231" s="27"/>
      <c r="H231" s="27"/>
      <c r="I231" s="27"/>
      <c r="J231" s="27"/>
      <c r="K231" s="27"/>
      <c r="L231" s="27"/>
    </row>
    <row r="232" spans="1:12" ht="15" thickBot="1" x14ac:dyDescent="0.35">
      <c r="A232" s="27"/>
      <c r="B232" s="27"/>
      <c r="C232" s="27"/>
      <c r="D232" s="27"/>
      <c r="E232" s="27"/>
      <c r="F232" s="27"/>
      <c r="G232" s="27"/>
      <c r="H232" s="27"/>
      <c r="I232" s="27"/>
      <c r="J232" s="27"/>
      <c r="K232" s="27"/>
      <c r="L232" s="27"/>
    </row>
    <row r="233" spans="1:12" ht="15" thickBot="1" x14ac:dyDescent="0.35">
      <c r="A233" s="27"/>
      <c r="B233" s="27"/>
      <c r="C233" s="27"/>
      <c r="D233" s="27"/>
      <c r="E233" s="27"/>
      <c r="F233" s="27"/>
      <c r="G233" s="27"/>
      <c r="H233" s="27"/>
      <c r="I233" s="27"/>
      <c r="J233" s="27"/>
      <c r="K233" s="27"/>
      <c r="L233" s="27"/>
    </row>
    <row r="234" spans="1:12" ht="15" thickBot="1" x14ac:dyDescent="0.35">
      <c r="A234" s="27"/>
      <c r="B234" s="27"/>
      <c r="C234" s="27"/>
      <c r="D234" s="27"/>
      <c r="E234" s="27"/>
      <c r="F234" s="27"/>
      <c r="G234" s="27"/>
      <c r="H234" s="27"/>
      <c r="I234" s="27"/>
      <c r="J234" s="27"/>
      <c r="K234" s="27"/>
      <c r="L234" s="27"/>
    </row>
    <row r="235" spans="1:12" ht="15" thickBot="1" x14ac:dyDescent="0.35">
      <c r="A235" s="27"/>
      <c r="B235" s="27"/>
      <c r="C235" s="27"/>
      <c r="D235" s="27"/>
      <c r="E235" s="27"/>
      <c r="F235" s="27"/>
      <c r="G235" s="27"/>
      <c r="H235" s="27"/>
      <c r="I235" s="27"/>
      <c r="J235" s="27"/>
      <c r="K235" s="27"/>
      <c r="L235" s="27"/>
    </row>
    <row r="236" spans="1:12" ht="15" thickBot="1" x14ac:dyDescent="0.35">
      <c r="A236" s="27"/>
      <c r="B236" s="27"/>
      <c r="C236" s="27"/>
      <c r="D236" s="27"/>
      <c r="E236" s="27"/>
      <c r="F236" s="27"/>
      <c r="G236" s="27"/>
      <c r="H236" s="27"/>
      <c r="I236" s="27"/>
      <c r="J236" s="27"/>
      <c r="K236" s="27"/>
      <c r="L236" s="27"/>
    </row>
    <row r="237" spans="1:12" ht="15" thickBot="1" x14ac:dyDescent="0.35">
      <c r="A237" s="27"/>
      <c r="B237" s="27"/>
      <c r="C237" s="27"/>
      <c r="D237" s="27"/>
      <c r="E237" s="27"/>
      <c r="F237" s="27"/>
      <c r="G237" s="27"/>
      <c r="H237" s="27"/>
      <c r="I237" s="27"/>
      <c r="J237" s="27"/>
      <c r="K237" s="27"/>
      <c r="L237" s="27"/>
    </row>
    <row r="238" spans="1:12" ht="15" thickBot="1" x14ac:dyDescent="0.35">
      <c r="A238" s="27"/>
      <c r="B238" s="27"/>
      <c r="C238" s="27"/>
      <c r="D238" s="27"/>
      <c r="E238" s="27"/>
      <c r="F238" s="27"/>
      <c r="G238" s="27"/>
      <c r="H238" s="27"/>
      <c r="I238" s="27"/>
      <c r="J238" s="27"/>
      <c r="K238" s="27"/>
      <c r="L238" s="27"/>
    </row>
    <row r="239" spans="1:12" ht="15" thickBot="1" x14ac:dyDescent="0.35">
      <c r="A239" s="27"/>
      <c r="B239" s="27"/>
      <c r="C239" s="27"/>
      <c r="D239" s="27"/>
      <c r="E239" s="27"/>
      <c r="F239" s="27"/>
      <c r="G239" s="27"/>
      <c r="H239" s="27"/>
      <c r="I239" s="27"/>
      <c r="J239" s="27"/>
      <c r="K239" s="27"/>
      <c r="L239" s="27"/>
    </row>
    <row r="240" spans="1:12" ht="15" thickBot="1" x14ac:dyDescent="0.35">
      <c r="A240" s="27"/>
      <c r="B240" s="27"/>
      <c r="C240" s="27"/>
      <c r="D240" s="27"/>
      <c r="E240" s="27"/>
      <c r="F240" s="27"/>
      <c r="G240" s="27"/>
      <c r="H240" s="27"/>
      <c r="I240" s="27"/>
      <c r="J240" s="27"/>
      <c r="K240" s="27"/>
      <c r="L240" s="27"/>
    </row>
    <row r="241" spans="1:12" ht="15" thickBot="1" x14ac:dyDescent="0.35">
      <c r="A241" s="27"/>
      <c r="B241" s="27"/>
      <c r="C241" s="27"/>
      <c r="D241" s="27"/>
      <c r="E241" s="27"/>
      <c r="F241" s="27"/>
      <c r="G241" s="27"/>
      <c r="H241" s="27"/>
      <c r="I241" s="27"/>
      <c r="J241" s="27"/>
      <c r="K241" s="27"/>
      <c r="L241" s="27"/>
    </row>
    <row r="242" spans="1:12" ht="15" thickBot="1" x14ac:dyDescent="0.35">
      <c r="A242" s="27"/>
      <c r="B242" s="27"/>
      <c r="C242" s="27"/>
      <c r="D242" s="27"/>
      <c r="E242" s="27"/>
      <c r="F242" s="27"/>
      <c r="G242" s="27"/>
      <c r="H242" s="27"/>
      <c r="I242" s="27"/>
      <c r="J242" s="27"/>
      <c r="K242" s="27"/>
      <c r="L242" s="27"/>
    </row>
    <row r="243" spans="1:12" ht="15" thickBot="1" x14ac:dyDescent="0.35">
      <c r="A243" s="27"/>
      <c r="B243" s="27"/>
      <c r="C243" s="27"/>
      <c r="D243" s="27"/>
      <c r="E243" s="27"/>
      <c r="F243" s="27"/>
      <c r="G243" s="27"/>
      <c r="H243" s="27"/>
      <c r="I243" s="27"/>
      <c r="J243" s="27"/>
      <c r="K243" s="27"/>
      <c r="L243" s="27"/>
    </row>
    <row r="244" spans="1:12" ht="15" thickBot="1" x14ac:dyDescent="0.35">
      <c r="A244" s="27"/>
      <c r="B244" s="27"/>
      <c r="C244" s="27"/>
      <c r="D244" s="27"/>
      <c r="E244" s="27"/>
      <c r="F244" s="27"/>
      <c r="G244" s="27"/>
      <c r="H244" s="27"/>
      <c r="I244" s="27"/>
      <c r="J244" s="27"/>
      <c r="K244" s="27"/>
      <c r="L244" s="27"/>
    </row>
    <row r="245" spans="1:12" ht="15" thickBot="1" x14ac:dyDescent="0.35">
      <c r="A245" s="27"/>
      <c r="B245" s="27"/>
      <c r="C245" s="27"/>
      <c r="D245" s="27"/>
      <c r="E245" s="27"/>
      <c r="F245" s="27"/>
      <c r="G245" s="27"/>
      <c r="H245" s="27"/>
      <c r="I245" s="27"/>
      <c r="J245" s="27"/>
      <c r="K245" s="27"/>
      <c r="L245" s="27"/>
    </row>
    <row r="246" spans="1:12" ht="15" thickBot="1" x14ac:dyDescent="0.35">
      <c r="A246" s="27"/>
      <c r="B246" s="27"/>
      <c r="C246" s="27"/>
      <c r="D246" s="27"/>
      <c r="E246" s="27"/>
      <c r="F246" s="27"/>
      <c r="G246" s="27"/>
      <c r="H246" s="27"/>
      <c r="I246" s="27"/>
      <c r="J246" s="27"/>
      <c r="K246" s="27"/>
      <c r="L246" s="27"/>
    </row>
    <row r="247" spans="1:12" ht="15" thickBot="1" x14ac:dyDescent="0.35">
      <c r="A247" s="27"/>
      <c r="B247" s="27"/>
      <c r="C247" s="27"/>
      <c r="D247" s="27"/>
      <c r="E247" s="27"/>
      <c r="F247" s="27"/>
      <c r="G247" s="27"/>
      <c r="H247" s="27"/>
      <c r="I247" s="27"/>
      <c r="J247" s="27"/>
      <c r="K247" s="27"/>
      <c r="L247" s="27"/>
    </row>
    <row r="248" spans="1:12" ht="15" thickBot="1" x14ac:dyDescent="0.35">
      <c r="A248" s="27"/>
      <c r="B248" s="27"/>
      <c r="C248" s="27"/>
      <c r="D248" s="27"/>
      <c r="E248" s="27"/>
      <c r="F248" s="27"/>
      <c r="G248" s="27"/>
      <c r="H248" s="27"/>
      <c r="I248" s="27"/>
      <c r="J248" s="27"/>
      <c r="K248" s="27"/>
      <c r="L248" s="27"/>
    </row>
    <row r="249" spans="1:12" ht="15" thickBot="1" x14ac:dyDescent="0.35">
      <c r="A249" s="27"/>
      <c r="B249" s="27"/>
      <c r="C249" s="27"/>
      <c r="D249" s="27"/>
      <c r="E249" s="27"/>
      <c r="F249" s="27"/>
      <c r="G249" s="27"/>
      <c r="H249" s="27"/>
      <c r="I249" s="27"/>
      <c r="J249" s="27"/>
      <c r="K249" s="27"/>
      <c r="L249" s="27"/>
    </row>
    <row r="250" spans="1:12" ht="15" thickBot="1" x14ac:dyDescent="0.35">
      <c r="A250" s="27"/>
      <c r="B250" s="27"/>
      <c r="C250" s="27"/>
      <c r="D250" s="27"/>
      <c r="E250" s="27"/>
      <c r="F250" s="27"/>
      <c r="G250" s="27"/>
      <c r="H250" s="27"/>
      <c r="I250" s="27"/>
      <c r="J250" s="27"/>
      <c r="K250" s="27"/>
      <c r="L250" s="27"/>
    </row>
    <row r="251" spans="1:12" ht="15" thickBot="1" x14ac:dyDescent="0.35">
      <c r="A251" s="27"/>
      <c r="B251" s="27"/>
      <c r="C251" s="27"/>
      <c r="D251" s="27"/>
      <c r="E251" s="27"/>
      <c r="F251" s="27"/>
      <c r="G251" s="27"/>
      <c r="H251" s="27"/>
      <c r="I251" s="27"/>
      <c r="J251" s="27"/>
      <c r="K251" s="27"/>
      <c r="L251" s="27"/>
    </row>
    <row r="252" spans="1:12" ht="15" thickBot="1" x14ac:dyDescent="0.35">
      <c r="A252" s="27"/>
      <c r="B252" s="27"/>
      <c r="C252" s="27"/>
      <c r="D252" s="27"/>
      <c r="E252" s="27"/>
      <c r="F252" s="27"/>
      <c r="G252" s="27"/>
      <c r="H252" s="27"/>
      <c r="I252" s="27"/>
      <c r="J252" s="27"/>
      <c r="K252" s="27"/>
      <c r="L252" s="27"/>
    </row>
    <row r="253" spans="1:12" ht="15" thickBot="1" x14ac:dyDescent="0.35">
      <c r="A253" s="27"/>
      <c r="B253" s="27"/>
      <c r="C253" s="27"/>
      <c r="D253" s="27"/>
      <c r="E253" s="27"/>
      <c r="F253" s="27"/>
      <c r="G253" s="27"/>
      <c r="H253" s="27"/>
      <c r="I253" s="27"/>
      <c r="J253" s="27"/>
      <c r="K253" s="27"/>
      <c r="L253" s="27"/>
    </row>
    <row r="254" spans="1:12" ht="15" thickBot="1" x14ac:dyDescent="0.35">
      <c r="A254" s="27"/>
      <c r="B254" s="27"/>
      <c r="C254" s="27"/>
      <c r="D254" s="27"/>
      <c r="E254" s="27"/>
      <c r="F254" s="27"/>
      <c r="G254" s="27"/>
      <c r="H254" s="27"/>
      <c r="I254" s="27"/>
      <c r="J254" s="27"/>
      <c r="K254" s="27"/>
      <c r="L254" s="27"/>
    </row>
    <row r="255" spans="1:12" ht="15" thickBot="1" x14ac:dyDescent="0.35">
      <c r="A255" s="27"/>
      <c r="B255" s="27"/>
      <c r="C255" s="27"/>
      <c r="D255" s="27"/>
      <c r="E255" s="27"/>
      <c r="F255" s="27"/>
      <c r="G255" s="27"/>
      <c r="H255" s="27"/>
      <c r="I255" s="27"/>
      <c r="J255" s="27"/>
      <c r="K255" s="27"/>
      <c r="L255" s="27"/>
    </row>
    <row r="256" spans="1:12" ht="15" thickBot="1" x14ac:dyDescent="0.35">
      <c r="A256" s="27"/>
      <c r="B256" s="27"/>
      <c r="C256" s="27"/>
      <c r="D256" s="27"/>
      <c r="E256" s="27"/>
      <c r="F256" s="27"/>
      <c r="G256" s="27"/>
      <c r="H256" s="27"/>
      <c r="I256" s="27"/>
      <c r="J256" s="27"/>
      <c r="K256" s="27"/>
      <c r="L256" s="27"/>
    </row>
    <row r="257" spans="1:12" ht="15" thickBot="1" x14ac:dyDescent="0.35">
      <c r="A257" s="27"/>
      <c r="B257" s="27"/>
      <c r="C257" s="27"/>
      <c r="D257" s="27"/>
      <c r="E257" s="27"/>
      <c r="F257" s="27"/>
      <c r="G257" s="27"/>
      <c r="H257" s="27"/>
      <c r="I257" s="27"/>
      <c r="J257" s="27"/>
      <c r="K257" s="27"/>
      <c r="L257" s="27"/>
    </row>
    <row r="258" spans="1:12" ht="15" thickBot="1" x14ac:dyDescent="0.35">
      <c r="A258" s="27"/>
      <c r="B258" s="27"/>
      <c r="C258" s="27"/>
      <c r="D258" s="27"/>
      <c r="E258" s="27"/>
      <c r="F258" s="27"/>
      <c r="G258" s="27"/>
      <c r="H258" s="27"/>
      <c r="I258" s="27"/>
      <c r="J258" s="27"/>
      <c r="K258" s="27"/>
      <c r="L258" s="27"/>
    </row>
    <row r="259" spans="1:12" ht="15" thickBot="1" x14ac:dyDescent="0.35">
      <c r="A259" s="27"/>
      <c r="B259" s="27"/>
      <c r="C259" s="27"/>
      <c r="D259" s="27"/>
      <c r="E259" s="27"/>
      <c r="F259" s="27"/>
      <c r="G259" s="27"/>
      <c r="H259" s="27"/>
      <c r="I259" s="27"/>
      <c r="J259" s="27"/>
      <c r="K259" s="27"/>
      <c r="L259" s="27"/>
    </row>
    <row r="260" spans="1:12" ht="15" thickBot="1" x14ac:dyDescent="0.35">
      <c r="A260" s="27"/>
      <c r="B260" s="27"/>
      <c r="C260" s="27"/>
      <c r="D260" s="27"/>
      <c r="E260" s="27"/>
      <c r="F260" s="27"/>
      <c r="G260" s="27"/>
      <c r="H260" s="27"/>
      <c r="I260" s="27"/>
      <c r="J260" s="27"/>
      <c r="K260" s="27"/>
      <c r="L260" s="27"/>
    </row>
    <row r="261" spans="1:12" ht="15" thickBot="1" x14ac:dyDescent="0.35">
      <c r="A261" s="27"/>
      <c r="B261" s="27"/>
      <c r="C261" s="27"/>
      <c r="D261" s="27"/>
      <c r="E261" s="27"/>
      <c r="F261" s="27"/>
      <c r="G261" s="27"/>
      <c r="H261" s="27"/>
      <c r="I261" s="27"/>
      <c r="J261" s="27"/>
      <c r="K261" s="27"/>
      <c r="L261" s="27"/>
    </row>
    <row r="262" spans="1:12" ht="15" thickBot="1" x14ac:dyDescent="0.35">
      <c r="A262" s="27"/>
      <c r="B262" s="27"/>
      <c r="C262" s="27"/>
      <c r="D262" s="27"/>
      <c r="E262" s="27"/>
      <c r="F262" s="27"/>
      <c r="G262" s="27"/>
      <c r="H262" s="27"/>
      <c r="I262" s="27"/>
      <c r="J262" s="27"/>
      <c r="K262" s="27"/>
      <c r="L262" s="27"/>
    </row>
    <row r="263" spans="1:12" ht="15" thickBot="1" x14ac:dyDescent="0.35">
      <c r="A263" s="27"/>
      <c r="B263" s="27"/>
      <c r="C263" s="27"/>
      <c r="D263" s="27"/>
      <c r="E263" s="27"/>
      <c r="F263" s="27"/>
      <c r="G263" s="27"/>
      <c r="H263" s="27"/>
      <c r="I263" s="27"/>
      <c r="J263" s="27"/>
      <c r="K263" s="27"/>
      <c r="L263" s="27"/>
    </row>
    <row r="264" spans="1:12" ht="15" thickBot="1" x14ac:dyDescent="0.35">
      <c r="A264" s="27"/>
      <c r="B264" s="27"/>
      <c r="C264" s="27"/>
      <c r="D264" s="27"/>
      <c r="E264" s="27"/>
      <c r="F264" s="27"/>
      <c r="G264" s="27"/>
      <c r="H264" s="27"/>
      <c r="I264" s="27"/>
      <c r="J264" s="27"/>
      <c r="K264" s="27"/>
      <c r="L264" s="27"/>
    </row>
    <row r="265" spans="1:12" ht="15" thickBot="1" x14ac:dyDescent="0.35">
      <c r="A265" s="27"/>
      <c r="B265" s="27"/>
      <c r="C265" s="27"/>
      <c r="D265" s="27"/>
      <c r="E265" s="27"/>
      <c r="F265" s="27"/>
      <c r="G265" s="27"/>
      <c r="H265" s="27"/>
      <c r="I265" s="27"/>
      <c r="J265" s="27"/>
      <c r="K265" s="27"/>
      <c r="L265" s="27"/>
    </row>
    <row r="266" spans="1:12" ht="15" thickBot="1" x14ac:dyDescent="0.35">
      <c r="A266" s="27"/>
      <c r="B266" s="27"/>
      <c r="C266" s="27"/>
      <c r="D266" s="27"/>
      <c r="E266" s="27"/>
      <c r="F266" s="27"/>
      <c r="G266" s="27"/>
      <c r="H266" s="27"/>
      <c r="I266" s="27"/>
      <c r="J266" s="27"/>
      <c r="K266" s="27"/>
      <c r="L266" s="27"/>
    </row>
    <row r="267" spans="1:12" ht="15" thickBot="1" x14ac:dyDescent="0.35">
      <c r="A267" s="27"/>
      <c r="B267" s="27"/>
      <c r="C267" s="27"/>
      <c r="D267" s="27"/>
      <c r="E267" s="27"/>
      <c r="F267" s="27"/>
      <c r="G267" s="27"/>
      <c r="H267" s="27"/>
      <c r="I267" s="27"/>
      <c r="J267" s="27"/>
      <c r="K267" s="27"/>
      <c r="L267" s="27"/>
    </row>
    <row r="268" spans="1:12" ht="15" thickBot="1" x14ac:dyDescent="0.35">
      <c r="A268" s="27"/>
      <c r="B268" s="27"/>
      <c r="C268" s="27"/>
      <c r="D268" s="27"/>
      <c r="E268" s="27"/>
      <c r="F268" s="27"/>
      <c r="G268" s="27"/>
      <c r="H268" s="27"/>
      <c r="I268" s="27"/>
      <c r="J268" s="27"/>
      <c r="K268" s="27"/>
      <c r="L268" s="27"/>
    </row>
    <row r="269" spans="1:12" ht="15" thickBot="1" x14ac:dyDescent="0.35">
      <c r="A269" s="27"/>
      <c r="B269" s="27"/>
      <c r="C269" s="27"/>
      <c r="D269" s="27"/>
      <c r="E269" s="27"/>
      <c r="F269" s="27"/>
      <c r="G269" s="27"/>
      <c r="H269" s="27"/>
      <c r="I269" s="27"/>
      <c r="J269" s="27"/>
      <c r="K269" s="27"/>
      <c r="L269" s="27"/>
    </row>
    <row r="270" spans="1:12" ht="15" thickBot="1" x14ac:dyDescent="0.35">
      <c r="A270" s="27"/>
      <c r="B270" s="27"/>
      <c r="C270" s="27"/>
      <c r="D270" s="27"/>
      <c r="E270" s="27"/>
      <c r="F270" s="27"/>
      <c r="G270" s="27"/>
      <c r="H270" s="27"/>
      <c r="I270" s="27"/>
      <c r="J270" s="27"/>
      <c r="K270" s="27"/>
      <c r="L270" s="27"/>
    </row>
    <row r="271" spans="1:12" ht="15" thickBot="1" x14ac:dyDescent="0.35">
      <c r="A271" s="27"/>
      <c r="B271" s="27"/>
      <c r="C271" s="27"/>
      <c r="D271" s="27"/>
      <c r="E271" s="27"/>
      <c r="F271" s="27"/>
      <c r="G271" s="27"/>
      <c r="H271" s="27"/>
      <c r="I271" s="27"/>
      <c r="J271" s="27"/>
      <c r="K271" s="27"/>
      <c r="L271" s="27"/>
    </row>
    <row r="272" spans="1:12" ht="15" thickBot="1" x14ac:dyDescent="0.35">
      <c r="A272" s="27"/>
      <c r="B272" s="27"/>
      <c r="C272" s="27"/>
      <c r="D272" s="27"/>
      <c r="E272" s="27"/>
      <c r="F272" s="27"/>
      <c r="G272" s="27"/>
      <c r="H272" s="27"/>
      <c r="I272" s="27"/>
      <c r="J272" s="27"/>
      <c r="K272" s="27"/>
      <c r="L272" s="27"/>
    </row>
    <row r="273" spans="1:12" ht="15" thickBot="1" x14ac:dyDescent="0.35">
      <c r="A273" s="27"/>
      <c r="B273" s="27"/>
      <c r="C273" s="27"/>
      <c r="D273" s="27"/>
      <c r="E273" s="27"/>
      <c r="F273" s="27"/>
      <c r="G273" s="27"/>
      <c r="H273" s="27"/>
      <c r="I273" s="27"/>
      <c r="J273" s="27"/>
      <c r="K273" s="27"/>
      <c r="L273" s="27"/>
    </row>
    <row r="274" spans="1:12" ht="15" thickBot="1" x14ac:dyDescent="0.35">
      <c r="A274" s="27"/>
      <c r="B274" s="27"/>
      <c r="C274" s="27"/>
      <c r="D274" s="27"/>
      <c r="E274" s="27"/>
      <c r="F274" s="27"/>
      <c r="G274" s="27"/>
      <c r="H274" s="27"/>
      <c r="I274" s="27"/>
      <c r="J274" s="27"/>
      <c r="K274" s="27"/>
      <c r="L274" s="27"/>
    </row>
    <row r="275" spans="1:12" ht="15" thickBot="1" x14ac:dyDescent="0.35">
      <c r="A275" s="27"/>
      <c r="B275" s="27"/>
      <c r="C275" s="27"/>
      <c r="D275" s="27"/>
      <c r="E275" s="27"/>
      <c r="F275" s="27"/>
      <c r="G275" s="27"/>
      <c r="H275" s="27"/>
      <c r="I275" s="27"/>
      <c r="J275" s="27"/>
      <c r="K275" s="27"/>
      <c r="L275" s="27"/>
    </row>
    <row r="276" spans="1:12" ht="15" thickBot="1" x14ac:dyDescent="0.35">
      <c r="A276" s="27"/>
      <c r="B276" s="27"/>
      <c r="C276" s="27"/>
      <c r="D276" s="27"/>
      <c r="E276" s="27"/>
      <c r="F276" s="27"/>
      <c r="G276" s="27"/>
      <c r="H276" s="27"/>
      <c r="I276" s="27"/>
      <c r="J276" s="27"/>
      <c r="K276" s="27"/>
      <c r="L276" s="27"/>
    </row>
    <row r="277" spans="1:12" ht="15" thickBot="1" x14ac:dyDescent="0.35">
      <c r="A277" s="27"/>
      <c r="B277" s="27"/>
      <c r="C277" s="27"/>
      <c r="D277" s="27"/>
      <c r="E277" s="27"/>
      <c r="F277" s="27"/>
      <c r="G277" s="27"/>
      <c r="H277" s="27"/>
      <c r="I277" s="27"/>
      <c r="J277" s="27"/>
      <c r="K277" s="27"/>
      <c r="L277" s="27"/>
    </row>
    <row r="278" spans="1:12" ht="15" thickBot="1" x14ac:dyDescent="0.35">
      <c r="A278" s="27"/>
      <c r="B278" s="27"/>
      <c r="C278" s="27"/>
      <c r="D278" s="27"/>
      <c r="E278" s="27"/>
      <c r="F278" s="27"/>
      <c r="G278" s="27"/>
      <c r="H278" s="27"/>
      <c r="I278" s="27"/>
      <c r="J278" s="27"/>
      <c r="K278" s="27"/>
      <c r="L278" s="27"/>
    </row>
    <row r="279" spans="1:12" ht="15" thickBot="1" x14ac:dyDescent="0.35">
      <c r="A279" s="27"/>
      <c r="B279" s="27"/>
      <c r="C279" s="27"/>
      <c r="D279" s="27"/>
      <c r="E279" s="27"/>
      <c r="F279" s="27"/>
      <c r="G279" s="27"/>
      <c r="H279" s="27"/>
      <c r="I279" s="27"/>
      <c r="J279" s="27"/>
      <c r="K279" s="27"/>
      <c r="L279" s="27"/>
    </row>
    <row r="280" spans="1:12" ht="15" thickBot="1" x14ac:dyDescent="0.35">
      <c r="A280" s="27"/>
      <c r="B280" s="27"/>
      <c r="C280" s="27"/>
      <c r="D280" s="27"/>
      <c r="E280" s="27"/>
      <c r="F280" s="27"/>
      <c r="G280" s="27"/>
      <c r="H280" s="27"/>
      <c r="I280" s="27"/>
      <c r="J280" s="27"/>
      <c r="K280" s="27"/>
      <c r="L280" s="27"/>
    </row>
    <row r="281" spans="1:12" ht="15" thickBot="1" x14ac:dyDescent="0.35">
      <c r="A281" s="27"/>
      <c r="B281" s="27"/>
      <c r="C281" s="27"/>
      <c r="D281" s="27"/>
      <c r="E281" s="27"/>
      <c r="F281" s="27"/>
      <c r="G281" s="27"/>
      <c r="H281" s="27"/>
      <c r="I281" s="27"/>
      <c r="J281" s="27"/>
      <c r="K281" s="27"/>
      <c r="L281" s="27"/>
    </row>
    <row r="282" spans="1:12" ht="15" thickBot="1" x14ac:dyDescent="0.35">
      <c r="A282" s="27"/>
      <c r="B282" s="27"/>
      <c r="C282" s="27"/>
      <c r="D282" s="27"/>
      <c r="E282" s="27"/>
      <c r="F282" s="27"/>
      <c r="G282" s="27"/>
      <c r="H282" s="27"/>
      <c r="I282" s="27"/>
      <c r="J282" s="27"/>
      <c r="K282" s="27"/>
      <c r="L282" s="27"/>
    </row>
    <row r="283" spans="1:12" ht="15" thickBot="1" x14ac:dyDescent="0.35">
      <c r="A283" s="27"/>
      <c r="B283" s="27"/>
      <c r="C283" s="27"/>
      <c r="D283" s="27"/>
      <c r="E283" s="27"/>
      <c r="F283" s="27"/>
      <c r="G283" s="27"/>
      <c r="H283" s="27"/>
      <c r="I283" s="27"/>
      <c r="J283" s="27"/>
      <c r="K283" s="27"/>
      <c r="L283" s="27"/>
    </row>
    <row r="284" spans="1:12" ht="15" thickBot="1" x14ac:dyDescent="0.35">
      <c r="A284" s="27"/>
      <c r="B284" s="27"/>
      <c r="C284" s="27"/>
      <c r="D284" s="27"/>
      <c r="E284" s="27"/>
      <c r="F284" s="27"/>
      <c r="G284" s="27"/>
      <c r="H284" s="27"/>
      <c r="I284" s="27"/>
      <c r="J284" s="27"/>
      <c r="K284" s="27"/>
      <c r="L284" s="27"/>
    </row>
    <row r="285" spans="1:12" ht="15" thickBot="1" x14ac:dyDescent="0.35">
      <c r="A285" s="27"/>
      <c r="B285" s="27"/>
      <c r="C285" s="27"/>
      <c r="D285" s="27"/>
      <c r="E285" s="27"/>
      <c r="F285" s="27"/>
      <c r="G285" s="27"/>
      <c r="H285" s="27"/>
      <c r="I285" s="27"/>
      <c r="J285" s="27"/>
      <c r="K285" s="27"/>
      <c r="L285" s="27"/>
    </row>
    <row r="286" spans="1:12" ht="15" thickBot="1" x14ac:dyDescent="0.35">
      <c r="A286" s="27"/>
      <c r="B286" s="27"/>
      <c r="C286" s="27"/>
      <c r="D286" s="27"/>
      <c r="E286" s="27"/>
      <c r="F286" s="27"/>
      <c r="G286" s="27"/>
      <c r="H286" s="27"/>
      <c r="I286" s="27"/>
      <c r="J286" s="27"/>
      <c r="K286" s="27"/>
      <c r="L286" s="27"/>
    </row>
    <row r="287" spans="1:12" ht="15" thickBot="1" x14ac:dyDescent="0.35">
      <c r="A287" s="27"/>
      <c r="B287" s="27"/>
      <c r="C287" s="27"/>
      <c r="D287" s="27"/>
      <c r="E287" s="27"/>
      <c r="F287" s="27"/>
      <c r="G287" s="27"/>
      <c r="H287" s="27"/>
      <c r="I287" s="27"/>
      <c r="J287" s="27"/>
      <c r="K287" s="27"/>
      <c r="L287" s="27"/>
    </row>
    <row r="288" spans="1:12" ht="15" thickBot="1" x14ac:dyDescent="0.35">
      <c r="A288" s="27"/>
      <c r="B288" s="27"/>
      <c r="C288" s="27"/>
      <c r="D288" s="27"/>
      <c r="E288" s="27"/>
      <c r="F288" s="27"/>
      <c r="G288" s="27"/>
      <c r="H288" s="27"/>
      <c r="I288" s="27"/>
      <c r="J288" s="27"/>
      <c r="K288" s="27"/>
      <c r="L288" s="27"/>
    </row>
    <row r="289" spans="1:12" ht="15" thickBot="1" x14ac:dyDescent="0.35">
      <c r="A289" s="27"/>
      <c r="B289" s="27"/>
      <c r="C289" s="27"/>
      <c r="D289" s="27"/>
      <c r="E289" s="27"/>
      <c r="F289" s="27"/>
      <c r="G289" s="27"/>
      <c r="H289" s="27"/>
      <c r="I289" s="27"/>
      <c r="J289" s="27"/>
      <c r="K289" s="27"/>
      <c r="L289" s="27"/>
    </row>
    <row r="290" spans="1:12" ht="15" thickBot="1" x14ac:dyDescent="0.35">
      <c r="A290" s="27"/>
      <c r="B290" s="27"/>
      <c r="C290" s="27"/>
      <c r="D290" s="27"/>
      <c r="E290" s="27"/>
      <c r="F290" s="27"/>
      <c r="G290" s="27"/>
      <c r="H290" s="27"/>
      <c r="I290" s="27"/>
      <c r="J290" s="27"/>
      <c r="K290" s="27"/>
      <c r="L290" s="27"/>
    </row>
    <row r="291" spans="1:12" ht="15" thickBot="1" x14ac:dyDescent="0.35">
      <c r="A291" s="27"/>
      <c r="B291" s="27"/>
      <c r="C291" s="27"/>
      <c r="D291" s="27"/>
      <c r="E291" s="27"/>
      <c r="F291" s="27"/>
      <c r="G291" s="27"/>
      <c r="H291" s="27"/>
      <c r="I291" s="27"/>
      <c r="J291" s="27"/>
      <c r="K291" s="27"/>
      <c r="L291" s="27"/>
    </row>
    <row r="292" spans="1:12" ht="15" thickBot="1" x14ac:dyDescent="0.35">
      <c r="A292" s="27"/>
      <c r="B292" s="27"/>
      <c r="C292" s="27"/>
      <c r="D292" s="27"/>
      <c r="E292" s="27"/>
      <c r="F292" s="27"/>
      <c r="G292" s="27"/>
      <c r="H292" s="27"/>
      <c r="I292" s="27"/>
      <c r="J292" s="27"/>
      <c r="K292" s="27"/>
      <c r="L292" s="27"/>
    </row>
    <row r="293" spans="1:12" ht="15" thickBot="1" x14ac:dyDescent="0.35">
      <c r="A293" s="27"/>
      <c r="B293" s="27"/>
      <c r="C293" s="27"/>
      <c r="D293" s="27"/>
      <c r="E293" s="27"/>
      <c r="F293" s="27"/>
      <c r="G293" s="27"/>
      <c r="H293" s="27"/>
      <c r="I293" s="27"/>
      <c r="J293" s="27"/>
      <c r="K293" s="27"/>
      <c r="L293" s="27"/>
    </row>
    <row r="294" spans="1:12" ht="15" thickBot="1" x14ac:dyDescent="0.35">
      <c r="A294" s="27"/>
      <c r="B294" s="27"/>
      <c r="C294" s="27"/>
      <c r="D294" s="27"/>
      <c r="E294" s="27"/>
      <c r="F294" s="27"/>
      <c r="G294" s="27"/>
      <c r="H294" s="27"/>
      <c r="I294" s="27"/>
      <c r="J294" s="27"/>
      <c r="K294" s="27"/>
      <c r="L294" s="27"/>
    </row>
    <row r="295" spans="1:12" ht="15" thickBot="1" x14ac:dyDescent="0.35">
      <c r="A295" s="27"/>
      <c r="B295" s="27"/>
      <c r="C295" s="27"/>
      <c r="D295" s="27"/>
      <c r="E295" s="27"/>
      <c r="F295" s="27"/>
      <c r="G295" s="27"/>
      <c r="H295" s="27"/>
      <c r="I295" s="27"/>
      <c r="J295" s="27"/>
      <c r="K295" s="27"/>
      <c r="L295" s="27"/>
    </row>
    <row r="296" spans="1:12" ht="15" thickBot="1" x14ac:dyDescent="0.35">
      <c r="A296" s="27"/>
      <c r="B296" s="27"/>
      <c r="C296" s="27"/>
      <c r="D296" s="27"/>
      <c r="E296" s="27"/>
      <c r="F296" s="27"/>
      <c r="G296" s="27"/>
      <c r="H296" s="27"/>
      <c r="I296" s="27"/>
      <c r="J296" s="27"/>
      <c r="K296" s="27"/>
      <c r="L296" s="27"/>
    </row>
    <row r="297" spans="1:12" ht="15" thickBot="1" x14ac:dyDescent="0.35">
      <c r="A297" s="27"/>
      <c r="B297" s="27"/>
      <c r="C297" s="27"/>
      <c r="D297" s="27"/>
      <c r="E297" s="27"/>
      <c r="F297" s="27"/>
      <c r="G297" s="27"/>
      <c r="H297" s="27"/>
      <c r="I297" s="27"/>
      <c r="J297" s="27"/>
      <c r="K297" s="27"/>
      <c r="L297" s="27"/>
    </row>
    <row r="298" spans="1:12" ht="15" thickBot="1" x14ac:dyDescent="0.35">
      <c r="A298" s="27"/>
      <c r="B298" s="27"/>
      <c r="C298" s="27"/>
      <c r="D298" s="27"/>
      <c r="E298" s="27"/>
      <c r="F298" s="27"/>
      <c r="G298" s="27"/>
      <c r="H298" s="27"/>
      <c r="I298" s="27"/>
      <c r="J298" s="27"/>
      <c r="K298" s="27"/>
      <c r="L298" s="27"/>
    </row>
    <row r="299" spans="1:12" ht="15" thickBot="1" x14ac:dyDescent="0.35">
      <c r="A299" s="27"/>
      <c r="B299" s="27"/>
      <c r="C299" s="27"/>
      <c r="D299" s="27"/>
      <c r="E299" s="27"/>
      <c r="F299" s="27"/>
      <c r="G299" s="27"/>
      <c r="H299" s="27"/>
      <c r="I299" s="27"/>
      <c r="J299" s="27"/>
      <c r="K299" s="27"/>
      <c r="L299" s="27"/>
    </row>
    <row r="300" spans="1:12" ht="15" thickBot="1" x14ac:dyDescent="0.35">
      <c r="A300" s="27"/>
      <c r="B300" s="27"/>
      <c r="C300" s="27"/>
      <c r="D300" s="27"/>
      <c r="E300" s="27"/>
      <c r="F300" s="27"/>
      <c r="G300" s="27"/>
      <c r="H300" s="27"/>
      <c r="I300" s="27"/>
      <c r="J300" s="27"/>
      <c r="K300" s="27"/>
      <c r="L300" s="27"/>
    </row>
    <row r="301" spans="1:12" ht="15" thickBot="1" x14ac:dyDescent="0.35">
      <c r="A301" s="27"/>
      <c r="B301" s="27"/>
      <c r="C301" s="27"/>
      <c r="D301" s="27"/>
      <c r="E301" s="27"/>
      <c r="F301" s="27"/>
      <c r="G301" s="27"/>
      <c r="H301" s="27"/>
      <c r="I301" s="27"/>
      <c r="J301" s="27"/>
      <c r="K301" s="27"/>
      <c r="L301" s="27"/>
    </row>
    <row r="302" spans="1:12" ht="15" thickBot="1" x14ac:dyDescent="0.35">
      <c r="A302" s="27"/>
      <c r="B302" s="27"/>
      <c r="C302" s="27"/>
      <c r="D302" s="27"/>
      <c r="E302" s="27"/>
      <c r="F302" s="27"/>
      <c r="G302" s="27"/>
      <c r="H302" s="27"/>
      <c r="I302" s="27"/>
      <c r="J302" s="27"/>
      <c r="K302" s="27"/>
      <c r="L302" s="27"/>
    </row>
    <row r="303" spans="1:12" ht="15" thickBot="1" x14ac:dyDescent="0.35">
      <c r="A303" s="27"/>
      <c r="B303" s="27"/>
      <c r="C303" s="27"/>
      <c r="D303" s="27"/>
      <c r="E303" s="27"/>
      <c r="F303" s="27"/>
      <c r="G303" s="27"/>
      <c r="H303" s="27"/>
      <c r="I303" s="27"/>
      <c r="J303" s="27"/>
      <c r="K303" s="27"/>
      <c r="L303" s="27"/>
    </row>
    <row r="304" spans="1:12" ht="15" thickBot="1" x14ac:dyDescent="0.35">
      <c r="A304" s="27"/>
      <c r="B304" s="27"/>
      <c r="C304" s="27"/>
      <c r="D304" s="27"/>
      <c r="E304" s="27"/>
      <c r="F304" s="27"/>
      <c r="G304" s="27"/>
      <c r="H304" s="27"/>
      <c r="I304" s="27"/>
      <c r="J304" s="27"/>
      <c r="K304" s="27"/>
      <c r="L304" s="27"/>
    </row>
    <row r="305" spans="1:12" ht="15" thickBot="1" x14ac:dyDescent="0.35">
      <c r="A305" s="27"/>
      <c r="B305" s="27"/>
      <c r="C305" s="27"/>
      <c r="D305" s="27"/>
      <c r="E305" s="27"/>
      <c r="F305" s="27"/>
      <c r="G305" s="27"/>
      <c r="H305" s="27"/>
      <c r="I305" s="27"/>
      <c r="J305" s="27"/>
      <c r="K305" s="27"/>
      <c r="L305" s="27"/>
    </row>
    <row r="306" spans="1:12" ht="15" thickBot="1" x14ac:dyDescent="0.35">
      <c r="A306" s="27"/>
      <c r="B306" s="27"/>
      <c r="C306" s="27"/>
      <c r="D306" s="27"/>
      <c r="E306" s="27"/>
      <c r="F306" s="27"/>
      <c r="G306" s="27"/>
      <c r="H306" s="27"/>
      <c r="I306" s="27"/>
      <c r="J306" s="27"/>
      <c r="K306" s="27"/>
      <c r="L306" s="27"/>
    </row>
    <row r="307" spans="1:12" ht="15" thickBot="1" x14ac:dyDescent="0.35">
      <c r="A307" s="27"/>
      <c r="B307" s="27"/>
      <c r="C307" s="27"/>
      <c r="D307" s="27"/>
      <c r="E307" s="27"/>
      <c r="F307" s="27"/>
      <c r="G307" s="27"/>
      <c r="H307" s="27"/>
      <c r="I307" s="27"/>
      <c r="J307" s="27"/>
      <c r="K307" s="27"/>
      <c r="L307" s="27"/>
    </row>
    <row r="308" spans="1:12" ht="15" thickBot="1" x14ac:dyDescent="0.35">
      <c r="A308" s="27"/>
      <c r="B308" s="27"/>
      <c r="C308" s="27"/>
      <c r="D308" s="27"/>
      <c r="E308" s="27"/>
      <c r="F308" s="27"/>
      <c r="G308" s="27"/>
      <c r="H308" s="27"/>
      <c r="I308" s="27"/>
      <c r="J308" s="27"/>
      <c r="K308" s="27"/>
      <c r="L308" s="27"/>
    </row>
    <row r="309" spans="1:12" ht="15" thickBot="1" x14ac:dyDescent="0.35">
      <c r="A309" s="27"/>
      <c r="B309" s="27"/>
      <c r="C309" s="27"/>
      <c r="D309" s="27"/>
      <c r="E309" s="27"/>
      <c r="F309" s="27"/>
      <c r="G309" s="27"/>
      <c r="H309" s="27"/>
      <c r="I309" s="27"/>
      <c r="J309" s="27"/>
      <c r="K309" s="27"/>
      <c r="L309" s="27"/>
    </row>
    <row r="310" spans="1:12" ht="15" thickBot="1" x14ac:dyDescent="0.35">
      <c r="A310" s="27"/>
      <c r="B310" s="27"/>
      <c r="C310" s="27"/>
      <c r="D310" s="27"/>
      <c r="E310" s="27"/>
      <c r="F310" s="27"/>
      <c r="G310" s="27"/>
      <c r="H310" s="27"/>
      <c r="I310" s="27"/>
      <c r="J310" s="27"/>
      <c r="K310" s="27"/>
      <c r="L310" s="27"/>
    </row>
    <row r="311" spans="1:12" ht="15" thickBot="1" x14ac:dyDescent="0.35">
      <c r="A311" s="27"/>
      <c r="B311" s="27"/>
      <c r="C311" s="27"/>
      <c r="D311" s="27"/>
      <c r="E311" s="27"/>
      <c r="F311" s="27"/>
      <c r="G311" s="27"/>
      <c r="H311" s="27"/>
      <c r="I311" s="27"/>
      <c r="J311" s="27"/>
      <c r="K311" s="27"/>
      <c r="L311" s="27"/>
    </row>
    <row r="312" spans="1:12" ht="15" thickBot="1" x14ac:dyDescent="0.35">
      <c r="A312" s="27"/>
      <c r="B312" s="27"/>
      <c r="C312" s="27"/>
      <c r="D312" s="27"/>
      <c r="E312" s="27"/>
      <c r="F312" s="27"/>
      <c r="G312" s="27"/>
      <c r="H312" s="27"/>
      <c r="I312" s="27"/>
      <c r="J312" s="27"/>
      <c r="K312" s="27"/>
      <c r="L312" s="27"/>
    </row>
    <row r="313" spans="1:12" ht="15" thickBot="1" x14ac:dyDescent="0.35">
      <c r="A313" s="27"/>
      <c r="B313" s="27"/>
      <c r="C313" s="27"/>
      <c r="D313" s="27"/>
      <c r="E313" s="27"/>
      <c r="F313" s="27"/>
      <c r="G313" s="27"/>
      <c r="H313" s="27"/>
      <c r="I313" s="27"/>
      <c r="J313" s="27"/>
      <c r="K313" s="27"/>
      <c r="L313" s="27"/>
    </row>
    <row r="314" spans="1:12" ht="15" thickBot="1" x14ac:dyDescent="0.35">
      <c r="A314" s="27"/>
      <c r="B314" s="27"/>
      <c r="C314" s="27"/>
      <c r="D314" s="27"/>
      <c r="E314" s="27"/>
      <c r="F314" s="27"/>
      <c r="G314" s="27"/>
      <c r="H314" s="27"/>
      <c r="I314" s="27"/>
      <c r="J314" s="27"/>
      <c r="K314" s="27"/>
      <c r="L314" s="27"/>
    </row>
    <row r="315" spans="1:12" ht="15" thickBot="1" x14ac:dyDescent="0.35">
      <c r="A315" s="27"/>
      <c r="B315" s="27"/>
      <c r="C315" s="27"/>
      <c r="D315" s="27"/>
      <c r="E315" s="27"/>
      <c r="F315" s="27"/>
      <c r="G315" s="27"/>
      <c r="H315" s="27"/>
      <c r="I315" s="27"/>
      <c r="J315" s="27"/>
      <c r="K315" s="27"/>
      <c r="L315" s="27"/>
    </row>
    <row r="316" spans="1:12" ht="15" thickBot="1" x14ac:dyDescent="0.35">
      <c r="A316" s="27"/>
      <c r="B316" s="27"/>
      <c r="C316" s="27"/>
      <c r="D316" s="27"/>
      <c r="E316" s="27"/>
      <c r="F316" s="27"/>
      <c r="G316" s="27"/>
      <c r="H316" s="27"/>
      <c r="I316" s="27"/>
      <c r="J316" s="27"/>
      <c r="K316" s="27"/>
      <c r="L316" s="27"/>
    </row>
    <row r="317" spans="1:12" ht="15" thickBot="1" x14ac:dyDescent="0.35">
      <c r="A317" s="27"/>
      <c r="B317" s="27"/>
      <c r="C317" s="27"/>
      <c r="D317" s="27"/>
      <c r="E317" s="27"/>
      <c r="F317" s="27"/>
      <c r="G317" s="27"/>
      <c r="H317" s="27"/>
      <c r="I317" s="27"/>
      <c r="J317" s="27"/>
      <c r="K317" s="27"/>
      <c r="L317" s="27"/>
    </row>
    <row r="318" spans="1:12" ht="15" thickBot="1" x14ac:dyDescent="0.35">
      <c r="A318" s="27"/>
      <c r="B318" s="27"/>
      <c r="C318" s="27"/>
      <c r="D318" s="27"/>
      <c r="E318" s="27"/>
      <c r="F318" s="27"/>
      <c r="G318" s="27"/>
      <c r="H318" s="27"/>
      <c r="I318" s="27"/>
      <c r="J318" s="27"/>
      <c r="K318" s="27"/>
      <c r="L318" s="27"/>
    </row>
    <row r="319" spans="1:12" ht="15" thickBot="1" x14ac:dyDescent="0.35">
      <c r="A319" s="27"/>
      <c r="B319" s="27"/>
      <c r="C319" s="27"/>
      <c r="D319" s="27"/>
      <c r="E319" s="27"/>
      <c r="F319" s="27"/>
      <c r="G319" s="27"/>
      <c r="H319" s="27"/>
      <c r="I319" s="27"/>
      <c r="J319" s="27"/>
      <c r="K319" s="27"/>
      <c r="L319" s="27"/>
    </row>
    <row r="320" spans="1:12" ht="15" thickBot="1" x14ac:dyDescent="0.35">
      <c r="A320" s="27"/>
      <c r="B320" s="27"/>
      <c r="C320" s="27"/>
      <c r="D320" s="27"/>
      <c r="E320" s="27"/>
      <c r="F320" s="27"/>
      <c r="G320" s="27"/>
      <c r="H320" s="27"/>
      <c r="I320" s="27"/>
      <c r="J320" s="27"/>
      <c r="K320" s="27"/>
      <c r="L320" s="27"/>
    </row>
    <row r="321" spans="1:12" ht="15" thickBot="1" x14ac:dyDescent="0.35">
      <c r="A321" s="27"/>
      <c r="B321" s="27"/>
      <c r="C321" s="27"/>
      <c r="D321" s="27"/>
      <c r="E321" s="27"/>
      <c r="F321" s="27"/>
      <c r="G321" s="27"/>
      <c r="H321" s="27"/>
      <c r="I321" s="27"/>
      <c r="J321" s="27"/>
      <c r="K321" s="27"/>
      <c r="L321" s="27"/>
    </row>
    <row r="322" spans="1:12" ht="15" thickBot="1" x14ac:dyDescent="0.35">
      <c r="A322" s="27"/>
      <c r="B322" s="27"/>
      <c r="C322" s="27"/>
      <c r="D322" s="27"/>
      <c r="E322" s="27"/>
      <c r="F322" s="27"/>
      <c r="G322" s="27"/>
      <c r="H322" s="27"/>
      <c r="I322" s="27"/>
      <c r="J322" s="27"/>
      <c r="K322" s="27"/>
      <c r="L322" s="27"/>
    </row>
    <row r="323" spans="1:12" ht="15" thickBot="1" x14ac:dyDescent="0.35">
      <c r="A323" s="27"/>
      <c r="B323" s="27"/>
      <c r="C323" s="27"/>
      <c r="D323" s="27"/>
      <c r="E323" s="27"/>
      <c r="F323" s="27"/>
      <c r="G323" s="27"/>
      <c r="H323" s="27"/>
      <c r="I323" s="27"/>
      <c r="J323" s="27"/>
      <c r="K323" s="27"/>
      <c r="L323" s="27"/>
    </row>
    <row r="324" spans="1:12" ht="15" thickBot="1" x14ac:dyDescent="0.35">
      <c r="A324" s="27"/>
      <c r="B324" s="27"/>
      <c r="C324" s="27"/>
      <c r="D324" s="27"/>
      <c r="E324" s="27"/>
      <c r="F324" s="27"/>
      <c r="G324" s="27"/>
      <c r="H324" s="27"/>
      <c r="I324" s="27"/>
      <c r="J324" s="27"/>
      <c r="K324" s="27"/>
      <c r="L324" s="27"/>
    </row>
    <row r="325" spans="1:12" ht="15" thickBot="1" x14ac:dyDescent="0.35">
      <c r="A325" s="27"/>
      <c r="B325" s="27"/>
      <c r="C325" s="27"/>
      <c r="D325" s="27"/>
      <c r="E325" s="27"/>
      <c r="F325" s="27"/>
      <c r="G325" s="27"/>
      <c r="H325" s="27"/>
      <c r="I325" s="27"/>
      <c r="J325" s="27"/>
      <c r="K325" s="27"/>
      <c r="L325" s="27"/>
    </row>
    <row r="326" spans="1:12" ht="15" thickBot="1" x14ac:dyDescent="0.35">
      <c r="A326" s="27"/>
      <c r="B326" s="27"/>
      <c r="C326" s="27"/>
      <c r="D326" s="27"/>
      <c r="E326" s="27"/>
      <c r="F326" s="27"/>
      <c r="G326" s="27"/>
      <c r="H326" s="27"/>
      <c r="I326" s="27"/>
      <c r="J326" s="27"/>
      <c r="K326" s="27"/>
      <c r="L326" s="27"/>
    </row>
    <row r="327" spans="1:12" ht="15" thickBot="1" x14ac:dyDescent="0.35">
      <c r="A327" s="27"/>
      <c r="B327" s="27"/>
      <c r="C327" s="27"/>
      <c r="D327" s="27"/>
      <c r="E327" s="27"/>
      <c r="F327" s="27"/>
      <c r="G327" s="27"/>
      <c r="H327" s="27"/>
      <c r="I327" s="27"/>
      <c r="J327" s="27"/>
      <c r="K327" s="27"/>
      <c r="L327" s="27"/>
    </row>
    <row r="328" spans="1:12" ht="15" thickBot="1" x14ac:dyDescent="0.35">
      <c r="A328" s="27"/>
      <c r="B328" s="27"/>
      <c r="C328" s="27"/>
      <c r="D328" s="27"/>
      <c r="E328" s="27"/>
      <c r="F328" s="27"/>
      <c r="G328" s="27"/>
      <c r="H328" s="27"/>
      <c r="I328" s="27"/>
      <c r="J328" s="27"/>
      <c r="K328" s="27"/>
      <c r="L328" s="27"/>
    </row>
    <row r="329" spans="1:12" ht="15" thickBot="1" x14ac:dyDescent="0.35">
      <c r="A329" s="27"/>
      <c r="B329" s="27"/>
      <c r="C329" s="27"/>
      <c r="D329" s="27"/>
      <c r="E329" s="27"/>
      <c r="F329" s="27"/>
      <c r="G329" s="27"/>
      <c r="H329" s="27"/>
      <c r="I329" s="27"/>
      <c r="J329" s="27"/>
      <c r="K329" s="27"/>
      <c r="L329" s="27"/>
    </row>
    <row r="330" spans="1:12" ht="15" thickBot="1" x14ac:dyDescent="0.35">
      <c r="A330" s="27"/>
      <c r="B330" s="27"/>
      <c r="C330" s="27"/>
      <c r="D330" s="27"/>
      <c r="E330" s="27"/>
      <c r="F330" s="27"/>
      <c r="G330" s="27"/>
      <c r="H330" s="27"/>
      <c r="I330" s="27"/>
      <c r="J330" s="27"/>
      <c r="K330" s="27"/>
      <c r="L330" s="27"/>
    </row>
    <row r="331" spans="1:12" ht="15" thickBot="1" x14ac:dyDescent="0.35">
      <c r="A331" s="27"/>
      <c r="B331" s="27"/>
      <c r="C331" s="27"/>
      <c r="D331" s="27"/>
      <c r="E331" s="27"/>
      <c r="F331" s="27"/>
      <c r="G331" s="27"/>
      <c r="H331" s="27"/>
      <c r="I331" s="27"/>
      <c r="J331" s="27"/>
      <c r="K331" s="27"/>
      <c r="L331" s="27"/>
    </row>
    <row r="332" spans="1:12" ht="15" thickBot="1" x14ac:dyDescent="0.35">
      <c r="A332" s="27"/>
      <c r="B332" s="27"/>
      <c r="C332" s="27"/>
      <c r="D332" s="27"/>
      <c r="E332" s="27"/>
      <c r="F332" s="27"/>
      <c r="G332" s="27"/>
      <c r="H332" s="27"/>
      <c r="I332" s="27"/>
      <c r="J332" s="27"/>
      <c r="K332" s="27"/>
      <c r="L332" s="27"/>
    </row>
    <row r="333" spans="1:12" ht="15" thickBot="1" x14ac:dyDescent="0.35">
      <c r="A333" s="27"/>
      <c r="B333" s="27"/>
      <c r="C333" s="27"/>
      <c r="D333" s="27"/>
      <c r="E333" s="27"/>
      <c r="F333" s="27"/>
      <c r="G333" s="27"/>
      <c r="H333" s="27"/>
      <c r="I333" s="27"/>
      <c r="J333" s="27"/>
      <c r="K333" s="27"/>
      <c r="L333" s="27"/>
    </row>
    <row r="334" spans="1:12" ht="15" thickBot="1" x14ac:dyDescent="0.35">
      <c r="A334" s="27"/>
      <c r="B334" s="27"/>
      <c r="C334" s="27"/>
      <c r="D334" s="27"/>
      <c r="E334" s="27"/>
      <c r="F334" s="27"/>
      <c r="G334" s="27"/>
      <c r="H334" s="27"/>
      <c r="I334" s="27"/>
      <c r="J334" s="27"/>
      <c r="K334" s="27"/>
      <c r="L334" s="27"/>
    </row>
    <row r="335" spans="1:12" ht="15" thickBot="1" x14ac:dyDescent="0.35">
      <c r="A335" s="27"/>
      <c r="B335" s="27"/>
      <c r="C335" s="27"/>
      <c r="D335" s="27"/>
      <c r="E335" s="27"/>
      <c r="F335" s="27"/>
      <c r="G335" s="27"/>
      <c r="H335" s="27"/>
      <c r="I335" s="27"/>
      <c r="J335" s="27"/>
      <c r="K335" s="27"/>
      <c r="L335" s="27"/>
    </row>
    <row r="336" spans="1:12" ht="15" thickBot="1" x14ac:dyDescent="0.35">
      <c r="A336" s="27"/>
      <c r="B336" s="27"/>
      <c r="C336" s="27"/>
      <c r="D336" s="27"/>
      <c r="E336" s="27"/>
      <c r="F336" s="27"/>
      <c r="G336" s="27"/>
      <c r="H336" s="27"/>
      <c r="I336" s="27"/>
      <c r="J336" s="27"/>
      <c r="K336" s="27"/>
      <c r="L336" s="27"/>
    </row>
    <row r="337" spans="1:12" ht="15" thickBot="1" x14ac:dyDescent="0.35">
      <c r="A337" s="27"/>
      <c r="B337" s="27"/>
      <c r="C337" s="27"/>
      <c r="D337" s="27"/>
      <c r="E337" s="27"/>
      <c r="F337" s="27"/>
      <c r="G337" s="27"/>
      <c r="H337" s="27"/>
      <c r="I337" s="27"/>
      <c r="J337" s="27"/>
      <c r="K337" s="27"/>
      <c r="L337" s="27"/>
    </row>
    <row r="338" spans="1:12" ht="15" thickBot="1" x14ac:dyDescent="0.35">
      <c r="A338" s="27"/>
      <c r="B338" s="27"/>
      <c r="C338" s="27"/>
      <c r="D338" s="27"/>
      <c r="E338" s="27"/>
      <c r="F338" s="27"/>
      <c r="G338" s="27"/>
      <c r="H338" s="27"/>
      <c r="I338" s="27"/>
      <c r="J338" s="27"/>
      <c r="K338" s="27"/>
      <c r="L338" s="27"/>
    </row>
    <row r="339" spans="1:12" ht="15" thickBot="1" x14ac:dyDescent="0.35">
      <c r="A339" s="27"/>
      <c r="B339" s="27"/>
      <c r="C339" s="27"/>
      <c r="D339" s="27"/>
      <c r="E339" s="27"/>
      <c r="F339" s="27"/>
      <c r="G339" s="27"/>
      <c r="H339" s="27"/>
      <c r="I339" s="27"/>
      <c r="J339" s="27"/>
      <c r="K339" s="27"/>
      <c r="L339" s="27"/>
    </row>
    <row r="340" spans="1:12" ht="15" thickBot="1" x14ac:dyDescent="0.35">
      <c r="A340" s="27"/>
      <c r="B340" s="27"/>
      <c r="C340" s="27"/>
      <c r="D340" s="27"/>
      <c r="E340" s="27"/>
      <c r="F340" s="27"/>
      <c r="G340" s="27"/>
      <c r="H340" s="27"/>
      <c r="I340" s="27"/>
      <c r="J340" s="27"/>
      <c r="K340" s="27"/>
      <c r="L340" s="27"/>
    </row>
    <row r="341" spans="1:12" ht="15" thickBot="1" x14ac:dyDescent="0.35">
      <c r="A341" s="27"/>
      <c r="B341" s="27"/>
      <c r="C341" s="27"/>
      <c r="D341" s="27"/>
      <c r="E341" s="27"/>
      <c r="F341" s="27"/>
      <c r="G341" s="27"/>
      <c r="H341" s="27"/>
      <c r="I341" s="27"/>
      <c r="J341" s="27"/>
      <c r="K341" s="27"/>
      <c r="L341" s="27"/>
    </row>
    <row r="342" spans="1:12" ht="15" thickBot="1" x14ac:dyDescent="0.35">
      <c r="A342" s="27"/>
      <c r="B342" s="27"/>
      <c r="C342" s="27"/>
      <c r="D342" s="27"/>
      <c r="E342" s="27"/>
      <c r="F342" s="27"/>
      <c r="G342" s="27"/>
      <c r="H342" s="27"/>
      <c r="I342" s="27"/>
      <c r="J342" s="27"/>
      <c r="K342" s="27"/>
      <c r="L342" s="27"/>
    </row>
    <row r="343" spans="1:12" ht="15" thickBot="1" x14ac:dyDescent="0.35">
      <c r="A343" s="27"/>
      <c r="B343" s="27"/>
      <c r="C343" s="27"/>
      <c r="D343" s="27"/>
      <c r="E343" s="27"/>
      <c r="F343" s="27"/>
      <c r="G343" s="27"/>
      <c r="H343" s="27"/>
      <c r="I343" s="27"/>
      <c r="J343" s="27"/>
      <c r="K343" s="27"/>
      <c r="L343" s="27"/>
    </row>
    <row r="344" spans="1:12" ht="15" thickBot="1" x14ac:dyDescent="0.35">
      <c r="A344" s="27"/>
      <c r="B344" s="27"/>
      <c r="C344" s="27"/>
      <c r="D344" s="27"/>
      <c r="E344" s="27"/>
      <c r="F344" s="27"/>
      <c r="G344" s="27"/>
      <c r="H344" s="27"/>
      <c r="I344" s="27"/>
      <c r="J344" s="27"/>
      <c r="K344" s="27"/>
      <c r="L344" s="27"/>
    </row>
    <row r="345" spans="1:12" ht="15" thickBot="1" x14ac:dyDescent="0.35">
      <c r="A345" s="27"/>
      <c r="B345" s="27"/>
      <c r="C345" s="27"/>
      <c r="D345" s="27"/>
      <c r="E345" s="27"/>
      <c r="F345" s="27"/>
      <c r="G345" s="27"/>
      <c r="H345" s="27"/>
      <c r="I345" s="27"/>
      <c r="J345" s="27"/>
      <c r="K345" s="27"/>
      <c r="L345" s="27"/>
    </row>
    <row r="346" spans="1:12" ht="15" thickBot="1" x14ac:dyDescent="0.35">
      <c r="A346" s="27"/>
      <c r="B346" s="27"/>
      <c r="C346" s="27"/>
      <c r="D346" s="27"/>
      <c r="E346" s="27"/>
      <c r="F346" s="27"/>
      <c r="G346" s="27"/>
      <c r="H346" s="27"/>
      <c r="I346" s="27"/>
      <c r="J346" s="27"/>
      <c r="K346" s="27"/>
      <c r="L346" s="27"/>
    </row>
    <row r="347" spans="1:12" ht="15" thickBot="1" x14ac:dyDescent="0.35">
      <c r="A347" s="27"/>
      <c r="B347" s="27"/>
      <c r="C347" s="27"/>
      <c r="D347" s="27"/>
      <c r="E347" s="27"/>
      <c r="F347" s="27"/>
      <c r="G347" s="27"/>
      <c r="H347" s="27"/>
      <c r="I347" s="27"/>
      <c r="J347" s="27"/>
      <c r="K347" s="27"/>
      <c r="L347" s="27"/>
    </row>
    <row r="348" spans="1:12" ht="15" thickBot="1" x14ac:dyDescent="0.35">
      <c r="A348" s="27"/>
      <c r="B348" s="27"/>
      <c r="C348" s="27"/>
      <c r="D348" s="27"/>
      <c r="E348" s="27"/>
      <c r="F348" s="27"/>
      <c r="G348" s="27"/>
      <c r="H348" s="27"/>
      <c r="I348" s="27"/>
      <c r="J348" s="27"/>
      <c r="K348" s="27"/>
      <c r="L348" s="27"/>
    </row>
    <row r="349" spans="1:12" ht="15" thickBot="1" x14ac:dyDescent="0.35">
      <c r="A349" s="27"/>
      <c r="B349" s="27"/>
      <c r="C349" s="27"/>
      <c r="D349" s="27"/>
      <c r="E349" s="27"/>
      <c r="F349" s="27"/>
      <c r="G349" s="27"/>
      <c r="H349" s="27"/>
      <c r="I349" s="27"/>
      <c r="J349" s="27"/>
      <c r="K349" s="27"/>
      <c r="L349" s="27"/>
    </row>
    <row r="350" spans="1:12" ht="15" thickBot="1" x14ac:dyDescent="0.35">
      <c r="A350" s="27"/>
      <c r="B350" s="27"/>
      <c r="C350" s="27"/>
      <c r="D350" s="27"/>
      <c r="E350" s="27"/>
      <c r="F350" s="27"/>
      <c r="G350" s="27"/>
      <c r="H350" s="27"/>
      <c r="I350" s="27"/>
      <c r="J350" s="27"/>
      <c r="K350" s="27"/>
      <c r="L350" s="27"/>
    </row>
    <row r="351" spans="1:12" ht="15" thickBot="1" x14ac:dyDescent="0.35">
      <c r="A351" s="27"/>
      <c r="B351" s="27"/>
      <c r="C351" s="27"/>
      <c r="D351" s="27"/>
      <c r="E351" s="27"/>
      <c r="F351" s="27"/>
      <c r="G351" s="27"/>
      <c r="H351" s="27"/>
      <c r="I351" s="27"/>
      <c r="J351" s="27"/>
      <c r="K351" s="27"/>
      <c r="L351" s="27"/>
    </row>
    <row r="352" spans="1:12" ht="15" thickBot="1" x14ac:dyDescent="0.35">
      <c r="A352" s="27"/>
      <c r="B352" s="27"/>
      <c r="C352" s="27"/>
      <c r="D352" s="27"/>
      <c r="E352" s="27"/>
      <c r="F352" s="27"/>
      <c r="G352" s="27"/>
      <c r="H352" s="27"/>
      <c r="I352" s="27"/>
      <c r="J352" s="27"/>
      <c r="K352" s="27"/>
      <c r="L352" s="27"/>
    </row>
    <row r="353" spans="1:12" ht="15" thickBot="1" x14ac:dyDescent="0.35">
      <c r="A353" s="27"/>
      <c r="B353" s="27"/>
      <c r="C353" s="27"/>
      <c r="D353" s="27"/>
      <c r="E353" s="27"/>
      <c r="F353" s="27"/>
      <c r="G353" s="27"/>
      <c r="H353" s="27"/>
      <c r="I353" s="27"/>
      <c r="J353" s="27"/>
      <c r="K353" s="27"/>
      <c r="L353" s="27"/>
    </row>
    <row r="354" spans="1:12" ht="15" thickBot="1" x14ac:dyDescent="0.35">
      <c r="A354" s="27"/>
      <c r="B354" s="27"/>
      <c r="C354" s="27"/>
      <c r="D354" s="27"/>
      <c r="E354" s="27"/>
      <c r="F354" s="27"/>
      <c r="G354" s="27"/>
      <c r="H354" s="27"/>
      <c r="I354" s="27"/>
      <c r="J354" s="27"/>
      <c r="K354" s="27"/>
      <c r="L354" s="27"/>
    </row>
    <row r="355" spans="1:12" ht="15" thickBot="1" x14ac:dyDescent="0.35">
      <c r="A355" s="27"/>
      <c r="B355" s="27"/>
      <c r="C355" s="27"/>
      <c r="D355" s="27"/>
      <c r="E355" s="27"/>
      <c r="F355" s="27"/>
      <c r="G355" s="27"/>
      <c r="H355" s="27"/>
      <c r="I355" s="27"/>
      <c r="J355" s="27"/>
      <c r="K355" s="27"/>
      <c r="L355" s="27"/>
    </row>
    <row r="356" spans="1:12" ht="15" thickBot="1" x14ac:dyDescent="0.35">
      <c r="A356" s="27"/>
      <c r="B356" s="27"/>
      <c r="C356" s="27"/>
      <c r="D356" s="27"/>
      <c r="E356" s="27"/>
      <c r="F356" s="27"/>
      <c r="G356" s="27"/>
      <c r="H356" s="27"/>
      <c r="I356" s="27"/>
      <c r="J356" s="27"/>
      <c r="K356" s="27"/>
      <c r="L356" s="27"/>
    </row>
    <row r="357" spans="1:12" ht="15" thickBot="1" x14ac:dyDescent="0.35">
      <c r="A357" s="27"/>
      <c r="B357" s="27"/>
      <c r="C357" s="27"/>
      <c r="D357" s="27"/>
      <c r="E357" s="27"/>
      <c r="F357" s="27"/>
      <c r="G357" s="27"/>
      <c r="H357" s="27"/>
      <c r="I357" s="27"/>
      <c r="J357" s="27"/>
      <c r="K357" s="27"/>
      <c r="L357" s="27"/>
    </row>
    <row r="358" spans="1:12" ht="15" thickBot="1" x14ac:dyDescent="0.35">
      <c r="A358" s="27"/>
      <c r="B358" s="27"/>
      <c r="C358" s="27"/>
      <c r="D358" s="27"/>
      <c r="E358" s="27"/>
      <c r="F358" s="27"/>
      <c r="G358" s="27"/>
      <c r="H358" s="27"/>
      <c r="I358" s="27"/>
      <c r="J358" s="27"/>
      <c r="K358" s="27"/>
      <c r="L358" s="27"/>
    </row>
    <row r="359" spans="1:12" ht="15" thickBot="1" x14ac:dyDescent="0.35">
      <c r="A359" s="27"/>
      <c r="B359" s="27"/>
      <c r="C359" s="27"/>
      <c r="D359" s="27"/>
      <c r="E359" s="27"/>
      <c r="F359" s="27"/>
      <c r="G359" s="27"/>
      <c r="H359" s="27"/>
      <c r="I359" s="27"/>
      <c r="J359" s="27"/>
      <c r="K359" s="27"/>
      <c r="L359" s="27"/>
    </row>
    <row r="360" spans="1:12" ht="15" thickBot="1" x14ac:dyDescent="0.35">
      <c r="A360" s="27"/>
      <c r="B360" s="27"/>
      <c r="C360" s="27"/>
      <c r="D360" s="27"/>
      <c r="E360" s="27"/>
      <c r="F360" s="27"/>
      <c r="G360" s="27"/>
      <c r="H360" s="27"/>
      <c r="I360" s="27"/>
      <c r="J360" s="27"/>
      <c r="K360" s="27"/>
      <c r="L360" s="27"/>
    </row>
    <row r="361" spans="1:12" ht="15" thickBot="1" x14ac:dyDescent="0.35">
      <c r="A361" s="27"/>
      <c r="B361" s="27"/>
      <c r="C361" s="27"/>
      <c r="D361" s="27"/>
      <c r="E361" s="27"/>
      <c r="F361" s="27"/>
      <c r="G361" s="27"/>
      <c r="H361" s="27"/>
      <c r="I361" s="27"/>
      <c r="J361" s="27"/>
      <c r="K361" s="27"/>
      <c r="L361" s="27"/>
    </row>
    <row r="362" spans="1:12" ht="15" thickBot="1" x14ac:dyDescent="0.35">
      <c r="A362" s="27"/>
      <c r="B362" s="27"/>
      <c r="C362" s="27"/>
      <c r="D362" s="27"/>
      <c r="E362" s="27"/>
      <c r="F362" s="27"/>
      <c r="G362" s="27"/>
      <c r="H362" s="27"/>
      <c r="I362" s="27"/>
      <c r="J362" s="27"/>
      <c r="K362" s="27"/>
      <c r="L362" s="27"/>
    </row>
    <row r="363" spans="1:12" ht="15" thickBot="1" x14ac:dyDescent="0.35">
      <c r="A363" s="27"/>
      <c r="B363" s="27"/>
      <c r="C363" s="27"/>
      <c r="D363" s="27"/>
      <c r="E363" s="27"/>
      <c r="F363" s="27"/>
      <c r="G363" s="27"/>
      <c r="H363" s="27"/>
      <c r="I363" s="27"/>
      <c r="J363" s="27"/>
      <c r="K363" s="27"/>
      <c r="L363" s="27"/>
    </row>
    <row r="364" spans="1:12" ht="15" thickBot="1" x14ac:dyDescent="0.35">
      <c r="A364" s="27"/>
      <c r="B364" s="27"/>
      <c r="C364" s="27"/>
      <c r="D364" s="27"/>
      <c r="E364" s="27"/>
      <c r="F364" s="27"/>
      <c r="G364" s="27"/>
      <c r="H364" s="27"/>
      <c r="I364" s="27"/>
      <c r="J364" s="27"/>
      <c r="K364" s="27"/>
      <c r="L364" s="27"/>
    </row>
    <row r="365" spans="1:12" ht="15" thickBot="1" x14ac:dyDescent="0.35">
      <c r="A365" s="27"/>
      <c r="B365" s="27"/>
      <c r="C365" s="27"/>
      <c r="D365" s="27"/>
      <c r="E365" s="27"/>
      <c r="F365" s="27"/>
      <c r="G365" s="27"/>
      <c r="H365" s="27"/>
      <c r="I365" s="27"/>
      <c r="J365" s="27"/>
      <c r="K365" s="27"/>
      <c r="L365" s="27"/>
    </row>
    <row r="366" spans="1:12" ht="15" thickBot="1" x14ac:dyDescent="0.35">
      <c r="A366" s="27"/>
      <c r="B366" s="27"/>
      <c r="C366" s="27"/>
      <c r="D366" s="27"/>
      <c r="E366" s="27"/>
      <c r="F366" s="27"/>
      <c r="G366" s="27"/>
      <c r="H366" s="27"/>
      <c r="I366" s="27"/>
      <c r="J366" s="27"/>
      <c r="K366" s="27"/>
      <c r="L366" s="27"/>
    </row>
    <row r="367" spans="1:12" ht="15" thickBot="1" x14ac:dyDescent="0.35">
      <c r="A367" s="27"/>
      <c r="B367" s="27"/>
      <c r="C367" s="27"/>
      <c r="D367" s="27"/>
      <c r="E367" s="27"/>
      <c r="F367" s="27"/>
      <c r="G367" s="27"/>
      <c r="H367" s="27"/>
      <c r="I367" s="27"/>
      <c r="J367" s="27"/>
      <c r="K367" s="27"/>
      <c r="L367" s="27"/>
    </row>
    <row r="368" spans="1:12" ht="15" thickBot="1" x14ac:dyDescent="0.35">
      <c r="A368" s="27"/>
      <c r="B368" s="27"/>
      <c r="C368" s="27"/>
      <c r="D368" s="27"/>
      <c r="E368" s="27"/>
      <c r="F368" s="27"/>
      <c r="G368" s="27"/>
      <c r="H368" s="27"/>
      <c r="I368" s="27"/>
      <c r="J368" s="27"/>
      <c r="K368" s="27"/>
      <c r="L368" s="27"/>
    </row>
    <row r="369" spans="1:12" ht="15" thickBot="1" x14ac:dyDescent="0.35">
      <c r="A369" s="27"/>
      <c r="B369" s="27"/>
      <c r="C369" s="27"/>
      <c r="D369" s="27"/>
      <c r="E369" s="27"/>
      <c r="F369" s="27"/>
      <c r="G369" s="27"/>
      <c r="H369" s="27"/>
      <c r="I369" s="27"/>
      <c r="J369" s="27"/>
      <c r="K369" s="27"/>
      <c r="L369" s="27"/>
    </row>
    <row r="370" spans="1:12" ht="15" thickBot="1" x14ac:dyDescent="0.35">
      <c r="A370" s="27"/>
      <c r="B370" s="27"/>
      <c r="C370" s="27"/>
      <c r="D370" s="27"/>
      <c r="E370" s="27"/>
      <c r="F370" s="27"/>
      <c r="G370" s="27"/>
      <c r="H370" s="27"/>
      <c r="I370" s="27"/>
      <c r="J370" s="27"/>
      <c r="K370" s="27"/>
      <c r="L370" s="27"/>
    </row>
    <row r="371" spans="1:12" ht="15" thickBot="1" x14ac:dyDescent="0.35">
      <c r="A371" s="27"/>
      <c r="B371" s="27"/>
      <c r="C371" s="27"/>
      <c r="D371" s="27"/>
      <c r="E371" s="27"/>
      <c r="F371" s="27"/>
      <c r="G371" s="27"/>
      <c r="H371" s="27"/>
      <c r="I371" s="27"/>
      <c r="J371" s="27"/>
      <c r="K371" s="27"/>
      <c r="L371" s="27"/>
    </row>
    <row r="372" spans="1:12" ht="15" thickBot="1" x14ac:dyDescent="0.35">
      <c r="A372" s="27"/>
      <c r="B372" s="27"/>
      <c r="C372" s="27"/>
      <c r="D372" s="27"/>
      <c r="E372" s="27"/>
      <c r="F372" s="27"/>
      <c r="G372" s="27"/>
      <c r="H372" s="27"/>
      <c r="I372" s="27"/>
      <c r="J372" s="27"/>
      <c r="K372" s="27"/>
      <c r="L372" s="27"/>
    </row>
    <row r="373" spans="1:12" ht="15" thickBot="1" x14ac:dyDescent="0.35">
      <c r="A373" s="27"/>
      <c r="B373" s="27"/>
      <c r="C373" s="27"/>
      <c r="D373" s="27"/>
      <c r="E373" s="27"/>
      <c r="F373" s="27"/>
      <c r="G373" s="27"/>
      <c r="H373" s="27"/>
      <c r="I373" s="27"/>
      <c r="J373" s="27"/>
      <c r="K373" s="27"/>
      <c r="L373" s="27"/>
    </row>
    <row r="374" spans="1:12" ht="15" thickBot="1" x14ac:dyDescent="0.35">
      <c r="A374" s="27"/>
      <c r="B374" s="27"/>
      <c r="C374" s="27"/>
      <c r="D374" s="27"/>
      <c r="E374" s="27"/>
      <c r="F374" s="27"/>
      <c r="G374" s="27"/>
      <c r="H374" s="27"/>
      <c r="I374" s="27"/>
      <c r="J374" s="27"/>
      <c r="K374" s="27"/>
      <c r="L374" s="27"/>
    </row>
    <row r="375" spans="1:12" ht="15" thickBot="1" x14ac:dyDescent="0.35">
      <c r="A375" s="27"/>
      <c r="B375" s="27"/>
      <c r="C375" s="27"/>
      <c r="D375" s="27"/>
      <c r="E375" s="27"/>
      <c r="F375" s="27"/>
      <c r="G375" s="27"/>
      <c r="H375" s="27"/>
      <c r="I375" s="27"/>
      <c r="J375" s="27"/>
      <c r="K375" s="27"/>
      <c r="L375" s="27"/>
    </row>
    <row r="376" spans="1:12" ht="15" thickBot="1" x14ac:dyDescent="0.35">
      <c r="A376" s="27"/>
      <c r="B376" s="27"/>
      <c r="C376" s="27"/>
      <c r="D376" s="27"/>
      <c r="E376" s="27"/>
      <c r="F376" s="27"/>
      <c r="G376" s="27"/>
      <c r="H376" s="27"/>
      <c r="I376" s="27"/>
      <c r="J376" s="27"/>
      <c r="K376" s="27"/>
      <c r="L376" s="27"/>
    </row>
    <row r="377" spans="1:12" ht="15" thickBot="1" x14ac:dyDescent="0.35">
      <c r="A377" s="27"/>
      <c r="B377" s="27"/>
      <c r="C377" s="27"/>
      <c r="D377" s="27"/>
      <c r="E377" s="27"/>
      <c r="F377" s="27"/>
      <c r="G377" s="27"/>
      <c r="H377" s="27"/>
      <c r="I377" s="27"/>
      <c r="J377" s="27"/>
      <c r="K377" s="27"/>
      <c r="L377" s="27"/>
    </row>
    <row r="378" spans="1:12" ht="15" thickBot="1" x14ac:dyDescent="0.35">
      <c r="A378" s="27"/>
      <c r="B378" s="27"/>
      <c r="C378" s="27"/>
      <c r="D378" s="27"/>
      <c r="E378" s="27"/>
      <c r="F378" s="27"/>
      <c r="G378" s="27"/>
      <c r="H378" s="27"/>
      <c r="I378" s="27"/>
      <c r="J378" s="27"/>
      <c r="K378" s="27"/>
      <c r="L378" s="27"/>
    </row>
    <row r="379" spans="1:12" ht="15" thickBot="1" x14ac:dyDescent="0.35">
      <c r="A379" s="27"/>
      <c r="B379" s="27"/>
      <c r="C379" s="27"/>
      <c r="D379" s="27"/>
      <c r="E379" s="27"/>
      <c r="F379" s="27"/>
      <c r="G379" s="27"/>
      <c r="H379" s="27"/>
      <c r="I379" s="27"/>
      <c r="J379" s="27"/>
      <c r="K379" s="27"/>
      <c r="L379" s="27"/>
    </row>
    <row r="380" spans="1:12" ht="15" thickBot="1" x14ac:dyDescent="0.35">
      <c r="A380" s="27"/>
      <c r="B380" s="27"/>
      <c r="C380" s="27"/>
      <c r="D380" s="27"/>
      <c r="E380" s="27"/>
      <c r="F380" s="27"/>
      <c r="G380" s="27"/>
      <c r="H380" s="27"/>
      <c r="I380" s="27"/>
      <c r="J380" s="27"/>
      <c r="K380" s="27"/>
      <c r="L380" s="27"/>
    </row>
    <row r="381" spans="1:12" ht="15" thickBot="1" x14ac:dyDescent="0.35">
      <c r="A381" s="27"/>
      <c r="B381" s="27"/>
      <c r="C381" s="27"/>
      <c r="D381" s="27"/>
      <c r="E381" s="27"/>
      <c r="F381" s="27"/>
      <c r="G381" s="27"/>
      <c r="H381" s="27"/>
      <c r="I381" s="27"/>
      <c r="J381" s="27"/>
      <c r="K381" s="27"/>
      <c r="L381" s="27"/>
    </row>
    <row r="382" spans="1:12" ht="15" thickBot="1" x14ac:dyDescent="0.35">
      <c r="A382" s="27"/>
      <c r="B382" s="27"/>
      <c r="C382" s="27"/>
      <c r="D382" s="27"/>
      <c r="E382" s="27"/>
      <c r="F382" s="27"/>
      <c r="G382" s="27"/>
      <c r="H382" s="27"/>
      <c r="I382" s="27"/>
      <c r="J382" s="27"/>
      <c r="K382" s="27"/>
      <c r="L382" s="27"/>
    </row>
    <row r="383" spans="1:12" ht="15" thickBot="1" x14ac:dyDescent="0.35">
      <c r="A383" s="27"/>
      <c r="B383" s="27"/>
      <c r="C383" s="27"/>
      <c r="D383" s="27"/>
      <c r="E383" s="27"/>
      <c r="F383" s="27"/>
      <c r="G383" s="27"/>
      <c r="H383" s="27"/>
      <c r="I383" s="27"/>
      <c r="J383" s="27"/>
      <c r="K383" s="27"/>
      <c r="L383" s="27"/>
    </row>
    <row r="384" spans="1:12" ht="15" thickBot="1" x14ac:dyDescent="0.35">
      <c r="A384" s="27"/>
      <c r="B384" s="27"/>
      <c r="C384" s="27"/>
      <c r="D384" s="27"/>
      <c r="E384" s="27"/>
      <c r="F384" s="27"/>
      <c r="G384" s="27"/>
      <c r="H384" s="27"/>
      <c r="I384" s="27"/>
      <c r="J384" s="27"/>
      <c r="K384" s="27"/>
      <c r="L384" s="27"/>
    </row>
    <row r="385" spans="1:12" ht="15" thickBot="1" x14ac:dyDescent="0.35">
      <c r="A385" s="27"/>
      <c r="B385" s="27"/>
      <c r="C385" s="27"/>
      <c r="D385" s="27"/>
      <c r="E385" s="27"/>
      <c r="F385" s="27"/>
      <c r="G385" s="27"/>
      <c r="H385" s="27"/>
      <c r="I385" s="27"/>
      <c r="J385" s="27"/>
      <c r="K385" s="27"/>
      <c r="L385" s="27"/>
    </row>
    <row r="386" spans="1:12" ht="15" thickBot="1" x14ac:dyDescent="0.35">
      <c r="A386" s="27"/>
      <c r="B386" s="27"/>
      <c r="C386" s="27"/>
      <c r="D386" s="27"/>
      <c r="E386" s="27"/>
      <c r="F386" s="27"/>
      <c r="G386" s="27"/>
      <c r="H386" s="27"/>
      <c r="I386" s="27"/>
      <c r="J386" s="27"/>
      <c r="K386" s="27"/>
      <c r="L386" s="27"/>
    </row>
    <row r="387" spans="1:12" ht="15" thickBot="1" x14ac:dyDescent="0.35">
      <c r="A387" s="27"/>
      <c r="B387" s="27"/>
      <c r="C387" s="27"/>
      <c r="D387" s="27"/>
      <c r="E387" s="27"/>
      <c r="F387" s="27"/>
      <c r="G387" s="27"/>
      <c r="H387" s="27"/>
      <c r="I387" s="27"/>
      <c r="J387" s="27"/>
      <c r="K387" s="27"/>
      <c r="L387" s="27"/>
    </row>
    <row r="388" spans="1:12" ht="15" thickBot="1" x14ac:dyDescent="0.35">
      <c r="A388" s="27"/>
      <c r="B388" s="27"/>
      <c r="C388" s="27"/>
      <c r="D388" s="27"/>
      <c r="E388" s="27"/>
      <c r="F388" s="27"/>
      <c r="G388" s="27"/>
      <c r="H388" s="27"/>
      <c r="I388" s="27"/>
      <c r="J388" s="27"/>
      <c r="K388" s="27"/>
      <c r="L388" s="27"/>
    </row>
    <row r="389" spans="1:12" ht="15" thickBot="1" x14ac:dyDescent="0.35">
      <c r="A389" s="27"/>
      <c r="B389" s="27"/>
      <c r="C389" s="27"/>
      <c r="D389" s="27"/>
      <c r="E389" s="27"/>
      <c r="F389" s="27"/>
      <c r="G389" s="27"/>
      <c r="H389" s="27"/>
      <c r="I389" s="27"/>
      <c r="J389" s="27"/>
      <c r="K389" s="27"/>
      <c r="L389" s="27"/>
    </row>
    <row r="390" spans="1:12" ht="15" thickBot="1" x14ac:dyDescent="0.35">
      <c r="A390" s="27"/>
      <c r="B390" s="27"/>
      <c r="C390" s="27"/>
      <c r="D390" s="27"/>
      <c r="E390" s="27"/>
      <c r="F390" s="27"/>
      <c r="G390" s="27"/>
      <c r="H390" s="27"/>
      <c r="I390" s="27"/>
      <c r="J390" s="27"/>
      <c r="K390" s="27"/>
      <c r="L390" s="27"/>
    </row>
    <row r="391" spans="1:12" ht="15" thickBot="1" x14ac:dyDescent="0.35">
      <c r="A391" s="27"/>
      <c r="B391" s="27"/>
      <c r="C391" s="27"/>
      <c r="D391" s="27"/>
      <c r="E391" s="27"/>
      <c r="F391" s="27"/>
      <c r="G391" s="27"/>
      <c r="H391" s="27"/>
      <c r="I391" s="27"/>
      <c r="J391" s="27"/>
      <c r="K391" s="27"/>
      <c r="L391" s="27"/>
    </row>
    <row r="392" spans="1:12" ht="15" thickBot="1" x14ac:dyDescent="0.35">
      <c r="A392" s="27"/>
      <c r="B392" s="27"/>
      <c r="C392" s="27"/>
      <c r="D392" s="27"/>
      <c r="E392" s="27"/>
      <c r="F392" s="27"/>
      <c r="G392" s="27"/>
      <c r="H392" s="27"/>
      <c r="I392" s="27"/>
      <c r="J392" s="27"/>
      <c r="K392" s="27"/>
      <c r="L392" s="27"/>
    </row>
    <row r="393" spans="1:12" ht="15" thickBot="1" x14ac:dyDescent="0.35">
      <c r="A393" s="27"/>
      <c r="B393" s="27"/>
      <c r="C393" s="27"/>
      <c r="D393" s="27"/>
      <c r="E393" s="27"/>
      <c r="F393" s="27"/>
      <c r="G393" s="27"/>
      <c r="H393" s="27"/>
      <c r="I393" s="27"/>
      <c r="J393" s="27"/>
      <c r="K393" s="27"/>
      <c r="L393" s="27"/>
    </row>
    <row r="394" spans="1:12" ht="15" thickBot="1" x14ac:dyDescent="0.35">
      <c r="A394" s="27"/>
      <c r="B394" s="27"/>
      <c r="C394" s="27"/>
      <c r="D394" s="27"/>
      <c r="E394" s="27"/>
      <c r="F394" s="27"/>
      <c r="G394" s="27"/>
      <c r="H394" s="27"/>
      <c r="I394" s="27"/>
      <c r="J394" s="27"/>
      <c r="K394" s="27"/>
      <c r="L394" s="27"/>
    </row>
    <row r="395" spans="1:12" ht="15" thickBot="1" x14ac:dyDescent="0.35">
      <c r="A395" s="27"/>
      <c r="B395" s="27"/>
      <c r="C395" s="27"/>
      <c r="D395" s="27"/>
      <c r="E395" s="27"/>
      <c r="F395" s="27"/>
      <c r="G395" s="27"/>
      <c r="H395" s="27"/>
      <c r="I395" s="27"/>
      <c r="J395" s="27"/>
      <c r="K395" s="27"/>
      <c r="L395" s="27"/>
    </row>
    <row r="396" spans="1:12" ht="15" thickBot="1" x14ac:dyDescent="0.35">
      <c r="A396" s="27"/>
      <c r="B396" s="27"/>
      <c r="C396" s="27"/>
      <c r="D396" s="27"/>
      <c r="E396" s="27"/>
      <c r="F396" s="27"/>
      <c r="G396" s="27"/>
      <c r="H396" s="27"/>
      <c r="I396" s="27"/>
      <c r="J396" s="27"/>
      <c r="K396" s="27"/>
      <c r="L396" s="27"/>
    </row>
    <row r="397" spans="1:12" ht="15" thickBot="1" x14ac:dyDescent="0.35">
      <c r="A397" s="27"/>
      <c r="B397" s="27"/>
      <c r="C397" s="27"/>
      <c r="D397" s="27"/>
      <c r="E397" s="27"/>
      <c r="F397" s="27"/>
      <c r="G397" s="27"/>
      <c r="H397" s="27"/>
      <c r="I397" s="27"/>
      <c r="J397" s="27"/>
      <c r="K397" s="27"/>
      <c r="L397" s="27"/>
    </row>
    <row r="398" spans="1:12" ht="15" thickBot="1" x14ac:dyDescent="0.35">
      <c r="A398" s="27"/>
      <c r="B398" s="27"/>
      <c r="C398" s="27"/>
      <c r="D398" s="27"/>
      <c r="E398" s="27"/>
      <c r="F398" s="27"/>
      <c r="G398" s="27"/>
      <c r="H398" s="27"/>
      <c r="I398" s="27"/>
      <c r="J398" s="27"/>
      <c r="K398" s="27"/>
      <c r="L398" s="27"/>
    </row>
    <row r="399" spans="1:12" ht="15" thickBot="1" x14ac:dyDescent="0.35">
      <c r="A399" s="27"/>
      <c r="B399" s="27"/>
      <c r="C399" s="27"/>
      <c r="D399" s="27"/>
      <c r="E399" s="27"/>
      <c r="F399" s="27"/>
      <c r="G399" s="27"/>
      <c r="H399" s="27"/>
      <c r="I399" s="27"/>
      <c r="J399" s="27"/>
      <c r="K399" s="27"/>
      <c r="L399" s="27"/>
    </row>
    <row r="400" spans="1:12" ht="15" thickBot="1" x14ac:dyDescent="0.35">
      <c r="A400" s="27"/>
      <c r="B400" s="27"/>
      <c r="C400" s="27"/>
      <c r="D400" s="27"/>
      <c r="E400" s="27"/>
      <c r="F400" s="27"/>
      <c r="G400" s="27"/>
      <c r="H400" s="27"/>
      <c r="I400" s="27"/>
      <c r="J400" s="27"/>
      <c r="K400" s="27"/>
      <c r="L400" s="27"/>
    </row>
    <row r="401" spans="1:12" ht="15" thickBot="1" x14ac:dyDescent="0.35">
      <c r="A401" s="27"/>
      <c r="B401" s="27"/>
      <c r="C401" s="27"/>
      <c r="D401" s="27"/>
      <c r="E401" s="27"/>
      <c r="F401" s="27"/>
      <c r="G401" s="27"/>
      <c r="H401" s="27"/>
      <c r="I401" s="27"/>
      <c r="J401" s="27"/>
      <c r="K401" s="27"/>
      <c r="L401" s="27"/>
    </row>
    <row r="402" spans="1:12" ht="15" thickBot="1" x14ac:dyDescent="0.35">
      <c r="A402" s="27"/>
      <c r="B402" s="27"/>
      <c r="C402" s="27"/>
      <c r="D402" s="27"/>
      <c r="E402" s="27"/>
      <c r="F402" s="27"/>
      <c r="G402" s="27"/>
      <c r="H402" s="27"/>
      <c r="I402" s="27"/>
      <c r="J402" s="27"/>
      <c r="K402" s="27"/>
      <c r="L402" s="27"/>
    </row>
    <row r="403" spans="1:12" ht="15" thickBot="1" x14ac:dyDescent="0.35">
      <c r="A403" s="27"/>
      <c r="B403" s="27"/>
      <c r="C403" s="27"/>
      <c r="D403" s="27"/>
      <c r="E403" s="27"/>
      <c r="F403" s="27"/>
      <c r="G403" s="27"/>
      <c r="H403" s="27"/>
      <c r="I403" s="27"/>
      <c r="J403" s="27"/>
      <c r="K403" s="27"/>
      <c r="L403" s="27"/>
    </row>
    <row r="404" spans="1:12" ht="15" thickBot="1" x14ac:dyDescent="0.35">
      <c r="A404" s="27"/>
      <c r="B404" s="27"/>
      <c r="C404" s="27"/>
      <c r="D404" s="27"/>
      <c r="E404" s="27"/>
      <c r="F404" s="27"/>
      <c r="G404" s="27"/>
      <c r="H404" s="27"/>
      <c r="I404" s="27"/>
      <c r="J404" s="27"/>
      <c r="K404" s="27"/>
      <c r="L404" s="27"/>
    </row>
    <row r="405" spans="1:12" ht="15" thickBot="1" x14ac:dyDescent="0.35">
      <c r="A405" s="27"/>
      <c r="B405" s="27"/>
      <c r="C405" s="27"/>
      <c r="D405" s="27"/>
      <c r="E405" s="27"/>
      <c r="F405" s="27"/>
      <c r="G405" s="27"/>
      <c r="H405" s="27"/>
      <c r="I405" s="27"/>
      <c r="J405" s="27"/>
      <c r="K405" s="27"/>
      <c r="L405" s="27"/>
    </row>
    <row r="406" spans="1:12" ht="15" thickBot="1" x14ac:dyDescent="0.35">
      <c r="A406" s="27"/>
      <c r="B406" s="27"/>
      <c r="C406" s="27"/>
      <c r="D406" s="27"/>
      <c r="E406" s="27"/>
      <c r="F406" s="27"/>
      <c r="G406" s="27"/>
      <c r="H406" s="27"/>
      <c r="I406" s="27"/>
      <c r="J406" s="27"/>
      <c r="K406" s="27"/>
      <c r="L406" s="27"/>
    </row>
    <row r="407" spans="1:12" ht="15" thickBot="1" x14ac:dyDescent="0.35">
      <c r="A407" s="27"/>
      <c r="B407" s="27"/>
      <c r="C407" s="27"/>
      <c r="D407" s="27"/>
      <c r="E407" s="27"/>
      <c r="F407" s="27"/>
      <c r="G407" s="27"/>
      <c r="H407" s="27"/>
      <c r="I407" s="27"/>
      <c r="J407" s="27"/>
      <c r="K407" s="27"/>
      <c r="L407" s="27"/>
    </row>
    <row r="408" spans="1:12" ht="15" thickBot="1" x14ac:dyDescent="0.35">
      <c r="A408" s="27"/>
      <c r="B408" s="27"/>
      <c r="C408" s="27"/>
      <c r="D408" s="27"/>
      <c r="E408" s="27"/>
      <c r="F408" s="27"/>
      <c r="G408" s="27"/>
      <c r="H408" s="27"/>
      <c r="I408" s="27"/>
      <c r="J408" s="27"/>
      <c r="K408" s="27"/>
      <c r="L408" s="27"/>
    </row>
    <row r="409" spans="1:12" ht="15" thickBot="1" x14ac:dyDescent="0.35">
      <c r="A409" s="27"/>
      <c r="B409" s="27"/>
      <c r="C409" s="27"/>
      <c r="D409" s="27"/>
      <c r="E409" s="27"/>
      <c r="F409" s="27"/>
      <c r="G409" s="27"/>
      <c r="H409" s="27"/>
      <c r="I409" s="27"/>
      <c r="J409" s="27"/>
      <c r="K409" s="27"/>
      <c r="L409" s="27"/>
    </row>
    <row r="410" spans="1:12" ht="15" thickBot="1" x14ac:dyDescent="0.35">
      <c r="A410" s="27"/>
      <c r="B410" s="27"/>
      <c r="C410" s="27"/>
      <c r="D410" s="27"/>
      <c r="E410" s="27"/>
      <c r="F410" s="27"/>
      <c r="G410" s="27"/>
      <c r="H410" s="27"/>
      <c r="I410" s="27"/>
      <c r="J410" s="27"/>
      <c r="K410" s="27"/>
      <c r="L410" s="27"/>
    </row>
    <row r="411" spans="1:12" ht="15" thickBot="1" x14ac:dyDescent="0.35">
      <c r="A411" s="27"/>
      <c r="B411" s="27"/>
      <c r="C411" s="27"/>
      <c r="D411" s="27"/>
      <c r="E411" s="27"/>
      <c r="F411" s="27"/>
      <c r="G411" s="27"/>
      <c r="H411" s="27"/>
      <c r="I411" s="27"/>
      <c r="J411" s="27"/>
      <c r="K411" s="27"/>
      <c r="L411" s="27"/>
    </row>
    <row r="412" spans="1:12" ht="15" thickBot="1" x14ac:dyDescent="0.35">
      <c r="A412" s="27"/>
      <c r="B412" s="27"/>
      <c r="C412" s="27"/>
      <c r="D412" s="27"/>
      <c r="E412" s="27"/>
      <c r="F412" s="27"/>
      <c r="G412" s="27"/>
      <c r="H412" s="27"/>
      <c r="I412" s="27"/>
      <c r="J412" s="27"/>
      <c r="K412" s="27"/>
      <c r="L412" s="27"/>
    </row>
    <row r="413" spans="1:12" ht="15" thickBot="1" x14ac:dyDescent="0.35">
      <c r="A413" s="27"/>
      <c r="B413" s="27"/>
      <c r="C413" s="27"/>
      <c r="D413" s="27"/>
      <c r="E413" s="27"/>
      <c r="F413" s="27"/>
      <c r="G413" s="27"/>
      <c r="H413" s="27"/>
      <c r="I413" s="27"/>
      <c r="J413" s="27"/>
      <c r="K413" s="27"/>
      <c r="L413" s="27"/>
    </row>
    <row r="414" spans="1:12" ht="15" thickBot="1" x14ac:dyDescent="0.35">
      <c r="A414" s="27"/>
      <c r="B414" s="27"/>
      <c r="C414" s="27"/>
      <c r="D414" s="27"/>
      <c r="E414" s="27"/>
      <c r="F414" s="27"/>
      <c r="G414" s="27"/>
      <c r="H414" s="27"/>
      <c r="I414" s="27"/>
      <c r="J414" s="27"/>
      <c r="K414" s="27"/>
      <c r="L414" s="27"/>
    </row>
    <row r="415" spans="1:12" ht="15" thickBot="1" x14ac:dyDescent="0.35">
      <c r="A415" s="27"/>
      <c r="B415" s="27"/>
      <c r="C415" s="27"/>
      <c r="D415" s="27"/>
      <c r="E415" s="27"/>
      <c r="F415" s="27"/>
      <c r="G415" s="27"/>
      <c r="H415" s="27"/>
      <c r="I415" s="27"/>
      <c r="J415" s="27"/>
      <c r="K415" s="27"/>
      <c r="L415" s="27"/>
    </row>
    <row r="416" spans="1:12" ht="15" thickBot="1" x14ac:dyDescent="0.35">
      <c r="A416" s="27"/>
      <c r="B416" s="27"/>
      <c r="C416" s="27"/>
      <c r="D416" s="27"/>
      <c r="E416" s="27"/>
      <c r="F416" s="27"/>
      <c r="G416" s="27"/>
      <c r="H416" s="27"/>
      <c r="I416" s="27"/>
      <c r="J416" s="27"/>
      <c r="K416" s="27"/>
      <c r="L416" s="27"/>
    </row>
    <row r="417" spans="1:12" ht="15" thickBot="1" x14ac:dyDescent="0.35">
      <c r="A417" s="27"/>
      <c r="B417" s="27"/>
      <c r="C417" s="27"/>
      <c r="D417" s="27"/>
      <c r="E417" s="27"/>
      <c r="F417" s="27"/>
      <c r="G417" s="27"/>
      <c r="H417" s="27"/>
      <c r="I417" s="27"/>
      <c r="J417" s="27"/>
      <c r="K417" s="27"/>
      <c r="L417" s="27"/>
    </row>
    <row r="418" spans="1:12" ht="15" thickBot="1" x14ac:dyDescent="0.35">
      <c r="A418" s="27"/>
      <c r="B418" s="27"/>
      <c r="C418" s="27"/>
      <c r="D418" s="27"/>
      <c r="E418" s="27"/>
      <c r="F418" s="27"/>
      <c r="G418" s="27"/>
      <c r="H418" s="27"/>
      <c r="I418" s="27"/>
      <c r="J418" s="27"/>
      <c r="K418" s="27"/>
      <c r="L418" s="27"/>
    </row>
    <row r="419" spans="1:12" ht="15" thickBot="1" x14ac:dyDescent="0.35">
      <c r="A419" s="27"/>
      <c r="B419" s="27"/>
      <c r="C419" s="27"/>
      <c r="D419" s="27"/>
      <c r="E419" s="27"/>
      <c r="F419" s="27"/>
      <c r="G419" s="27"/>
      <c r="H419" s="27"/>
      <c r="I419" s="27"/>
      <c r="J419" s="27"/>
      <c r="K419" s="27"/>
      <c r="L419" s="27"/>
    </row>
    <row r="420" spans="1:12" ht="15" thickBot="1" x14ac:dyDescent="0.35">
      <c r="A420" s="27"/>
      <c r="B420" s="27"/>
      <c r="C420" s="27"/>
      <c r="D420" s="27"/>
      <c r="E420" s="27"/>
      <c r="F420" s="27"/>
      <c r="G420" s="27"/>
      <c r="H420" s="27"/>
      <c r="I420" s="27"/>
      <c r="J420" s="27"/>
      <c r="K420" s="27"/>
      <c r="L420" s="27"/>
    </row>
    <row r="421" spans="1:12" ht="15" thickBot="1" x14ac:dyDescent="0.35">
      <c r="A421" s="27"/>
      <c r="B421" s="27"/>
      <c r="C421" s="27"/>
      <c r="D421" s="27"/>
      <c r="E421" s="27"/>
      <c r="F421" s="27"/>
      <c r="G421" s="27"/>
      <c r="H421" s="27"/>
      <c r="I421" s="27"/>
      <c r="J421" s="27"/>
      <c r="K421" s="27"/>
      <c r="L421" s="27"/>
    </row>
    <row r="422" spans="1:12" ht="15" thickBot="1" x14ac:dyDescent="0.35">
      <c r="A422" s="27"/>
      <c r="B422" s="27"/>
      <c r="C422" s="27"/>
      <c r="D422" s="27"/>
      <c r="E422" s="27"/>
      <c r="F422" s="27"/>
      <c r="G422" s="27"/>
      <c r="H422" s="27"/>
      <c r="I422" s="27"/>
      <c r="J422" s="27"/>
      <c r="K422" s="27"/>
      <c r="L422" s="27"/>
    </row>
    <row r="423" spans="1:12" ht="15" thickBot="1" x14ac:dyDescent="0.35">
      <c r="A423" s="27"/>
      <c r="B423" s="27"/>
      <c r="C423" s="27"/>
      <c r="D423" s="27"/>
      <c r="E423" s="27"/>
      <c r="F423" s="27"/>
      <c r="G423" s="27"/>
      <c r="H423" s="27"/>
      <c r="I423" s="27"/>
      <c r="J423" s="27"/>
      <c r="K423" s="27"/>
      <c r="L423" s="27"/>
    </row>
    <row r="424" spans="1:12" ht="15" thickBot="1" x14ac:dyDescent="0.35">
      <c r="A424" s="27"/>
      <c r="B424" s="27"/>
      <c r="C424" s="27"/>
      <c r="D424" s="27"/>
      <c r="E424" s="27"/>
      <c r="F424" s="27"/>
      <c r="G424" s="27"/>
      <c r="H424" s="27"/>
      <c r="I424" s="27"/>
      <c r="J424" s="27"/>
      <c r="K424" s="27"/>
      <c r="L424" s="27"/>
    </row>
    <row r="425" spans="1:12" ht="15" thickBot="1" x14ac:dyDescent="0.35">
      <c r="A425" s="27"/>
      <c r="B425" s="27"/>
      <c r="C425" s="27"/>
      <c r="D425" s="27"/>
      <c r="E425" s="27"/>
      <c r="F425" s="27"/>
      <c r="G425" s="27"/>
      <c r="H425" s="27"/>
      <c r="I425" s="27"/>
      <c r="J425" s="27"/>
      <c r="K425" s="27"/>
      <c r="L425" s="27"/>
    </row>
    <row r="426" spans="1:12" ht="15" thickBot="1" x14ac:dyDescent="0.35">
      <c r="A426" s="27"/>
      <c r="B426" s="27"/>
      <c r="C426" s="27"/>
      <c r="D426" s="27"/>
      <c r="E426" s="27"/>
      <c r="F426" s="27"/>
      <c r="G426" s="27"/>
      <c r="H426" s="27"/>
      <c r="I426" s="27"/>
      <c r="J426" s="27"/>
      <c r="K426" s="27"/>
      <c r="L426" s="27"/>
    </row>
    <row r="427" spans="1:12" ht="15" thickBot="1" x14ac:dyDescent="0.35">
      <c r="A427" s="27"/>
      <c r="B427" s="27"/>
      <c r="C427" s="27"/>
      <c r="D427" s="27"/>
      <c r="E427" s="27"/>
      <c r="F427" s="27"/>
      <c r="G427" s="27"/>
      <c r="H427" s="27"/>
      <c r="I427" s="27"/>
      <c r="J427" s="27"/>
      <c r="K427" s="27"/>
      <c r="L427" s="27"/>
    </row>
    <row r="428" spans="1:12" ht="15" thickBot="1" x14ac:dyDescent="0.35">
      <c r="A428" s="27"/>
      <c r="B428" s="27"/>
      <c r="C428" s="27"/>
      <c r="D428" s="27"/>
      <c r="E428" s="27"/>
      <c r="F428" s="27"/>
      <c r="G428" s="27"/>
      <c r="H428" s="27"/>
      <c r="I428" s="27"/>
      <c r="J428" s="27"/>
      <c r="K428" s="27"/>
      <c r="L428" s="27"/>
    </row>
    <row r="429" spans="1:12" ht="15" thickBot="1" x14ac:dyDescent="0.35">
      <c r="A429" s="27"/>
      <c r="B429" s="27"/>
      <c r="C429" s="27"/>
      <c r="D429" s="27"/>
      <c r="E429" s="27"/>
      <c r="F429" s="27"/>
      <c r="G429" s="27"/>
      <c r="H429" s="27"/>
      <c r="I429" s="27"/>
      <c r="J429" s="27"/>
      <c r="K429" s="27"/>
      <c r="L429" s="27"/>
    </row>
    <row r="430" spans="1:12" ht="15" thickBot="1" x14ac:dyDescent="0.35">
      <c r="A430" s="27"/>
      <c r="B430" s="27"/>
      <c r="C430" s="27"/>
      <c r="D430" s="27"/>
      <c r="E430" s="27"/>
      <c r="F430" s="27"/>
      <c r="G430" s="27"/>
      <c r="H430" s="27"/>
      <c r="I430" s="27"/>
      <c r="J430" s="27"/>
      <c r="K430" s="27"/>
      <c r="L430" s="27"/>
    </row>
    <row r="431" spans="1:12" ht="15" thickBot="1" x14ac:dyDescent="0.35">
      <c r="A431" s="27"/>
      <c r="B431" s="27"/>
      <c r="C431" s="27"/>
      <c r="D431" s="27"/>
      <c r="E431" s="27"/>
      <c r="F431" s="27"/>
      <c r="G431" s="27"/>
      <c r="H431" s="27"/>
      <c r="I431" s="27"/>
      <c r="J431" s="27"/>
      <c r="K431" s="27"/>
      <c r="L431" s="27"/>
    </row>
    <row r="432" spans="1:12" ht="15" thickBot="1" x14ac:dyDescent="0.35">
      <c r="A432" s="27"/>
      <c r="B432" s="27"/>
      <c r="C432" s="27"/>
      <c r="D432" s="27"/>
      <c r="E432" s="27"/>
      <c r="F432" s="27"/>
      <c r="G432" s="27"/>
      <c r="H432" s="27"/>
      <c r="I432" s="27"/>
      <c r="J432" s="27"/>
      <c r="K432" s="27"/>
      <c r="L432" s="27"/>
    </row>
    <row r="433" spans="1:12" ht="15" thickBot="1" x14ac:dyDescent="0.35">
      <c r="A433" s="27"/>
      <c r="B433" s="27"/>
      <c r="C433" s="27"/>
      <c r="D433" s="27"/>
      <c r="E433" s="27"/>
      <c r="F433" s="27"/>
      <c r="G433" s="27"/>
      <c r="H433" s="27"/>
      <c r="I433" s="27"/>
      <c r="J433" s="27"/>
      <c r="K433" s="27"/>
      <c r="L433" s="27"/>
    </row>
    <row r="434" spans="1:12" ht="15" thickBot="1" x14ac:dyDescent="0.35">
      <c r="A434" s="27"/>
      <c r="B434" s="27"/>
      <c r="C434" s="27"/>
      <c r="D434" s="27"/>
      <c r="E434" s="27"/>
      <c r="F434" s="27"/>
      <c r="G434" s="27"/>
      <c r="H434" s="27"/>
      <c r="I434" s="27"/>
      <c r="J434" s="27"/>
      <c r="K434" s="27"/>
      <c r="L434" s="27"/>
    </row>
    <row r="435" spans="1:12" ht="15" thickBot="1" x14ac:dyDescent="0.35">
      <c r="A435" s="27"/>
      <c r="B435" s="27"/>
      <c r="C435" s="27"/>
      <c r="D435" s="27"/>
      <c r="E435" s="27"/>
      <c r="F435" s="27"/>
      <c r="G435" s="27"/>
      <c r="H435" s="27"/>
      <c r="I435" s="27"/>
      <c r="J435" s="27"/>
      <c r="K435" s="27"/>
      <c r="L435" s="27"/>
    </row>
    <row r="436" spans="1:12" ht="15" thickBot="1" x14ac:dyDescent="0.35">
      <c r="A436" s="27"/>
      <c r="B436" s="27"/>
      <c r="C436" s="27"/>
      <c r="D436" s="27"/>
      <c r="E436" s="27"/>
      <c r="F436" s="27"/>
      <c r="G436" s="27"/>
      <c r="H436" s="27"/>
      <c r="I436" s="27"/>
      <c r="J436" s="27"/>
      <c r="K436" s="27"/>
      <c r="L436" s="27"/>
    </row>
    <row r="437" spans="1:12" ht="15" thickBot="1" x14ac:dyDescent="0.35">
      <c r="A437" s="27"/>
      <c r="B437" s="27"/>
      <c r="C437" s="27"/>
      <c r="D437" s="27"/>
      <c r="E437" s="27"/>
      <c r="F437" s="27"/>
      <c r="G437" s="27"/>
      <c r="H437" s="27"/>
      <c r="I437" s="27"/>
      <c r="J437" s="27"/>
      <c r="K437" s="27"/>
      <c r="L437" s="27"/>
    </row>
    <row r="438" spans="1:12" ht="15" thickBot="1" x14ac:dyDescent="0.35">
      <c r="A438" s="27"/>
      <c r="B438" s="27"/>
      <c r="C438" s="27"/>
      <c r="D438" s="27"/>
      <c r="E438" s="27"/>
      <c r="F438" s="27"/>
      <c r="G438" s="27"/>
      <c r="H438" s="27"/>
      <c r="I438" s="27"/>
      <c r="J438" s="27"/>
      <c r="K438" s="27"/>
      <c r="L438" s="27"/>
    </row>
    <row r="439" spans="1:12" ht="15" thickBot="1" x14ac:dyDescent="0.35">
      <c r="A439" s="27"/>
      <c r="B439" s="27"/>
      <c r="C439" s="27"/>
      <c r="D439" s="27"/>
      <c r="E439" s="27"/>
      <c r="F439" s="27"/>
      <c r="G439" s="27"/>
      <c r="H439" s="27"/>
      <c r="I439" s="27"/>
      <c r="J439" s="27"/>
      <c r="K439" s="27"/>
      <c r="L439" s="27"/>
    </row>
    <row r="440" spans="1:12" ht="15" thickBot="1" x14ac:dyDescent="0.35">
      <c r="A440" s="27"/>
      <c r="B440" s="27"/>
      <c r="C440" s="27"/>
      <c r="D440" s="27"/>
      <c r="E440" s="27"/>
      <c r="F440" s="27"/>
      <c r="G440" s="27"/>
      <c r="H440" s="27"/>
      <c r="I440" s="27"/>
      <c r="J440" s="27"/>
      <c r="K440" s="27"/>
      <c r="L440" s="27"/>
    </row>
    <row r="441" spans="1:12" ht="15" thickBot="1" x14ac:dyDescent="0.35">
      <c r="A441" s="27"/>
      <c r="B441" s="27"/>
      <c r="C441" s="27"/>
      <c r="D441" s="27"/>
      <c r="E441" s="27"/>
      <c r="F441" s="27"/>
      <c r="G441" s="27"/>
      <c r="H441" s="27"/>
      <c r="I441" s="27"/>
      <c r="J441" s="27"/>
      <c r="K441" s="27"/>
      <c r="L441" s="27"/>
    </row>
    <row r="442" spans="1:12" ht="15" thickBot="1" x14ac:dyDescent="0.35">
      <c r="A442" s="27"/>
      <c r="B442" s="27"/>
      <c r="C442" s="27"/>
      <c r="D442" s="27"/>
      <c r="E442" s="27"/>
      <c r="F442" s="27"/>
      <c r="G442" s="27"/>
      <c r="H442" s="27"/>
      <c r="I442" s="27"/>
      <c r="J442" s="27"/>
      <c r="K442" s="27"/>
      <c r="L442" s="27"/>
    </row>
    <row r="443" spans="1:12" ht="15" thickBot="1" x14ac:dyDescent="0.35">
      <c r="A443" s="27"/>
      <c r="B443" s="27"/>
      <c r="C443" s="27"/>
      <c r="D443" s="27"/>
      <c r="E443" s="27"/>
      <c r="F443" s="27"/>
      <c r="G443" s="27"/>
      <c r="H443" s="27"/>
      <c r="I443" s="27"/>
      <c r="J443" s="27"/>
      <c r="K443" s="27"/>
      <c r="L443" s="27"/>
    </row>
    <row r="444" spans="1:12" ht="15" thickBot="1" x14ac:dyDescent="0.35">
      <c r="A444" s="27"/>
      <c r="B444" s="27"/>
      <c r="C444" s="27"/>
      <c r="D444" s="27"/>
      <c r="E444" s="27"/>
      <c r="F444" s="27"/>
      <c r="G444" s="27"/>
      <c r="H444" s="27"/>
      <c r="I444" s="27"/>
      <c r="J444" s="27"/>
      <c r="K444" s="27"/>
      <c r="L444" s="27"/>
    </row>
    <row r="445" spans="1:12" ht="15" thickBot="1" x14ac:dyDescent="0.35">
      <c r="A445" s="27"/>
      <c r="B445" s="27"/>
      <c r="C445" s="27"/>
      <c r="D445" s="27"/>
      <c r="E445" s="27"/>
      <c r="F445" s="27"/>
      <c r="G445" s="27"/>
      <c r="H445" s="27"/>
      <c r="I445" s="27"/>
      <c r="J445" s="27"/>
      <c r="K445" s="27"/>
      <c r="L445" s="27"/>
    </row>
    <row r="446" spans="1:12" ht="15" thickBot="1" x14ac:dyDescent="0.35">
      <c r="A446" s="27"/>
      <c r="B446" s="27"/>
      <c r="C446" s="27"/>
      <c r="D446" s="27"/>
      <c r="E446" s="27"/>
      <c r="F446" s="27"/>
      <c r="G446" s="27"/>
      <c r="H446" s="27"/>
      <c r="I446" s="27"/>
      <c r="J446" s="27"/>
      <c r="K446" s="27"/>
      <c r="L446" s="27"/>
    </row>
    <row r="447" spans="1:12" ht="15" thickBot="1" x14ac:dyDescent="0.35">
      <c r="A447" s="27"/>
      <c r="B447" s="27"/>
      <c r="C447" s="27"/>
      <c r="D447" s="27"/>
      <c r="E447" s="27"/>
      <c r="F447" s="27"/>
      <c r="G447" s="27"/>
      <c r="H447" s="27"/>
      <c r="I447" s="27"/>
      <c r="J447" s="27"/>
      <c r="K447" s="27"/>
      <c r="L447" s="27"/>
    </row>
    <row r="448" spans="1:12" ht="15" thickBot="1" x14ac:dyDescent="0.35">
      <c r="A448" s="27"/>
      <c r="B448" s="27"/>
      <c r="C448" s="27"/>
      <c r="D448" s="27"/>
      <c r="E448" s="27"/>
      <c r="F448" s="27"/>
      <c r="G448" s="27"/>
      <c r="H448" s="27"/>
      <c r="I448" s="27"/>
      <c r="J448" s="27"/>
      <c r="K448" s="27"/>
      <c r="L448" s="27"/>
    </row>
    <row r="449" spans="1:12" ht="15" thickBot="1" x14ac:dyDescent="0.35">
      <c r="A449" s="27"/>
      <c r="B449" s="27"/>
      <c r="C449" s="27"/>
      <c r="D449" s="27"/>
      <c r="E449" s="27"/>
      <c r="F449" s="27"/>
      <c r="G449" s="27"/>
      <c r="H449" s="27"/>
      <c r="I449" s="27"/>
      <c r="J449" s="27"/>
      <c r="K449" s="27"/>
      <c r="L449" s="27"/>
    </row>
    <row r="450" spans="1:12" ht="15" thickBot="1" x14ac:dyDescent="0.35">
      <c r="A450" s="27"/>
      <c r="B450" s="27"/>
      <c r="C450" s="27"/>
      <c r="D450" s="27"/>
      <c r="E450" s="27"/>
      <c r="F450" s="27"/>
      <c r="G450" s="27"/>
      <c r="H450" s="27"/>
      <c r="I450" s="27"/>
      <c r="J450" s="27"/>
      <c r="K450" s="27"/>
      <c r="L450" s="27"/>
    </row>
    <row r="451" spans="1:12" ht="15" thickBot="1" x14ac:dyDescent="0.35">
      <c r="A451" s="27"/>
      <c r="B451" s="27"/>
      <c r="C451" s="27"/>
      <c r="D451" s="27"/>
      <c r="E451" s="27"/>
      <c r="F451" s="27"/>
      <c r="G451" s="27"/>
      <c r="H451" s="27"/>
      <c r="I451" s="27"/>
      <c r="J451" s="27"/>
      <c r="K451" s="27"/>
      <c r="L451" s="27"/>
    </row>
    <row r="452" spans="1:12" ht="15" thickBot="1" x14ac:dyDescent="0.35">
      <c r="A452" s="27"/>
      <c r="B452" s="27"/>
      <c r="C452" s="27"/>
      <c r="D452" s="27"/>
      <c r="E452" s="27"/>
      <c r="F452" s="27"/>
      <c r="G452" s="27"/>
      <c r="H452" s="27"/>
      <c r="I452" s="27"/>
      <c r="J452" s="27"/>
      <c r="K452" s="27"/>
      <c r="L452" s="27"/>
    </row>
    <row r="453" spans="1:12" ht="15" thickBot="1" x14ac:dyDescent="0.35">
      <c r="A453" s="27"/>
      <c r="B453" s="27"/>
      <c r="C453" s="27"/>
      <c r="D453" s="27"/>
      <c r="E453" s="27"/>
      <c r="F453" s="27"/>
      <c r="G453" s="27"/>
      <c r="H453" s="27"/>
      <c r="I453" s="27"/>
      <c r="J453" s="27"/>
      <c r="K453" s="27"/>
      <c r="L453" s="27"/>
    </row>
    <row r="454" spans="1:12" ht="15" thickBot="1" x14ac:dyDescent="0.35">
      <c r="A454" s="27"/>
      <c r="B454" s="27"/>
      <c r="C454" s="27"/>
      <c r="D454" s="27"/>
      <c r="E454" s="27"/>
      <c r="F454" s="27"/>
      <c r="G454" s="27"/>
      <c r="H454" s="27"/>
      <c r="I454" s="27"/>
      <c r="J454" s="27"/>
      <c r="K454" s="27"/>
      <c r="L454" s="27"/>
    </row>
    <row r="455" spans="1:12" ht="15" thickBot="1" x14ac:dyDescent="0.35">
      <c r="A455" s="27"/>
      <c r="B455" s="27"/>
      <c r="C455" s="27"/>
      <c r="D455" s="27"/>
      <c r="E455" s="27"/>
      <c r="F455" s="27"/>
      <c r="G455" s="27"/>
      <c r="H455" s="27"/>
      <c r="I455" s="27"/>
      <c r="J455" s="27"/>
      <c r="K455" s="27"/>
      <c r="L455" s="27"/>
    </row>
    <row r="456" spans="1:12" ht="15" thickBot="1" x14ac:dyDescent="0.35">
      <c r="A456" s="27"/>
      <c r="B456" s="27"/>
      <c r="C456" s="27"/>
      <c r="D456" s="27"/>
      <c r="E456" s="27"/>
      <c r="F456" s="27"/>
      <c r="G456" s="27"/>
      <c r="H456" s="27"/>
      <c r="I456" s="27"/>
      <c r="J456" s="27"/>
      <c r="K456" s="27"/>
      <c r="L456" s="27"/>
    </row>
    <row r="457" spans="1:12" ht="15" thickBot="1" x14ac:dyDescent="0.35">
      <c r="A457" s="27"/>
      <c r="B457" s="27"/>
      <c r="C457" s="27"/>
      <c r="D457" s="27"/>
      <c r="E457" s="27"/>
      <c r="F457" s="27"/>
      <c r="G457" s="27"/>
      <c r="H457" s="27"/>
      <c r="I457" s="27"/>
      <c r="J457" s="27"/>
      <c r="K457" s="27"/>
      <c r="L457" s="27"/>
    </row>
    <row r="458" spans="1:12" ht="15" thickBot="1" x14ac:dyDescent="0.35">
      <c r="A458" s="27"/>
      <c r="B458" s="27"/>
      <c r="C458" s="27"/>
      <c r="D458" s="27"/>
      <c r="E458" s="27"/>
      <c r="F458" s="27"/>
      <c r="G458" s="27"/>
      <c r="H458" s="27"/>
      <c r="I458" s="27"/>
      <c r="J458" s="27"/>
      <c r="K458" s="27"/>
      <c r="L458" s="27"/>
    </row>
    <row r="459" spans="1:12" ht="15" thickBot="1" x14ac:dyDescent="0.35">
      <c r="A459" s="27"/>
      <c r="B459" s="27"/>
      <c r="C459" s="27"/>
      <c r="D459" s="27"/>
      <c r="E459" s="27"/>
      <c r="F459" s="27"/>
      <c r="G459" s="27"/>
      <c r="H459" s="27"/>
      <c r="I459" s="27"/>
      <c r="J459" s="27"/>
      <c r="K459" s="27"/>
      <c r="L459" s="27"/>
    </row>
    <row r="460" spans="1:12" ht="15" thickBot="1" x14ac:dyDescent="0.35">
      <c r="A460" s="27"/>
      <c r="B460" s="27"/>
      <c r="C460" s="27"/>
      <c r="D460" s="27"/>
      <c r="E460" s="27"/>
      <c r="F460" s="27"/>
      <c r="G460" s="27"/>
      <c r="H460" s="27"/>
      <c r="I460" s="27"/>
      <c r="J460" s="27"/>
      <c r="K460" s="27"/>
      <c r="L460" s="27"/>
    </row>
    <row r="461" spans="1:12" ht="15" thickBot="1" x14ac:dyDescent="0.35">
      <c r="A461" s="27"/>
      <c r="B461" s="27"/>
      <c r="C461" s="27"/>
      <c r="D461" s="27"/>
      <c r="E461" s="27"/>
      <c r="F461" s="27"/>
      <c r="G461" s="27"/>
      <c r="H461" s="27"/>
      <c r="I461" s="27"/>
      <c r="J461" s="27"/>
      <c r="K461" s="27"/>
      <c r="L461" s="27"/>
    </row>
    <row r="462" spans="1:12" ht="15" thickBot="1" x14ac:dyDescent="0.35">
      <c r="A462" s="27"/>
      <c r="B462" s="27"/>
      <c r="C462" s="27"/>
      <c r="D462" s="27"/>
      <c r="E462" s="27"/>
      <c r="F462" s="27"/>
      <c r="G462" s="27"/>
      <c r="H462" s="27"/>
      <c r="I462" s="27"/>
      <c r="J462" s="27"/>
      <c r="K462" s="27"/>
      <c r="L462" s="27"/>
    </row>
    <row r="463" spans="1:12" ht="15" thickBot="1" x14ac:dyDescent="0.35">
      <c r="A463" s="27"/>
      <c r="B463" s="27"/>
      <c r="C463" s="27"/>
      <c r="D463" s="27"/>
      <c r="E463" s="27"/>
      <c r="F463" s="27"/>
      <c r="G463" s="27"/>
      <c r="H463" s="27"/>
      <c r="I463" s="27"/>
      <c r="J463" s="27"/>
      <c r="K463" s="27"/>
      <c r="L463" s="27"/>
    </row>
    <row r="464" spans="1:12" ht="15" thickBot="1" x14ac:dyDescent="0.35">
      <c r="A464" s="27"/>
      <c r="B464" s="27"/>
      <c r="C464" s="27"/>
      <c r="D464" s="27"/>
      <c r="E464" s="27"/>
      <c r="F464" s="27"/>
      <c r="G464" s="27"/>
      <c r="H464" s="27"/>
      <c r="I464" s="27"/>
      <c r="J464" s="27"/>
      <c r="K464" s="27"/>
      <c r="L464" s="27"/>
    </row>
    <row r="465" spans="1:12" ht="15" thickBot="1" x14ac:dyDescent="0.35">
      <c r="A465" s="27"/>
      <c r="B465" s="27"/>
      <c r="C465" s="27"/>
      <c r="D465" s="27"/>
      <c r="E465" s="27"/>
      <c r="F465" s="27"/>
      <c r="G465" s="27"/>
      <c r="H465" s="27"/>
      <c r="I465" s="27"/>
      <c r="J465" s="27"/>
      <c r="K465" s="27"/>
      <c r="L465" s="27"/>
    </row>
    <row r="466" spans="1:12" ht="15" thickBot="1" x14ac:dyDescent="0.35">
      <c r="A466" s="27"/>
      <c r="B466" s="27"/>
      <c r="C466" s="27"/>
      <c r="D466" s="27"/>
      <c r="E466" s="27"/>
      <c r="F466" s="27"/>
      <c r="G466" s="27"/>
      <c r="H466" s="27"/>
      <c r="I466" s="27"/>
      <c r="J466" s="27"/>
      <c r="K466" s="27"/>
      <c r="L466" s="27"/>
    </row>
    <row r="467" spans="1:12" ht="15" thickBot="1" x14ac:dyDescent="0.35">
      <c r="A467" s="27"/>
      <c r="B467" s="27"/>
      <c r="C467" s="27"/>
      <c r="D467" s="27"/>
      <c r="E467" s="27"/>
      <c r="F467" s="27"/>
      <c r="G467" s="27"/>
      <c r="H467" s="27"/>
      <c r="I467" s="27"/>
      <c r="J467" s="27"/>
      <c r="K467" s="27"/>
      <c r="L467" s="27"/>
    </row>
    <row r="468" spans="1:12" ht="15" thickBot="1" x14ac:dyDescent="0.35">
      <c r="A468" s="27"/>
      <c r="B468" s="27"/>
      <c r="C468" s="27"/>
      <c r="D468" s="27"/>
      <c r="E468" s="27"/>
      <c r="F468" s="27"/>
      <c r="G468" s="27"/>
      <c r="H468" s="27"/>
      <c r="I468" s="27"/>
      <c r="J468" s="27"/>
      <c r="K468" s="27"/>
      <c r="L468" s="27"/>
    </row>
    <row r="469" spans="1:12" ht="15" thickBot="1" x14ac:dyDescent="0.35">
      <c r="A469" s="27"/>
      <c r="B469" s="27"/>
      <c r="C469" s="27"/>
      <c r="D469" s="27"/>
      <c r="E469" s="27"/>
      <c r="F469" s="27"/>
      <c r="G469" s="27"/>
      <c r="H469" s="27"/>
      <c r="I469" s="27"/>
      <c r="J469" s="27"/>
      <c r="K469" s="27"/>
      <c r="L469" s="27"/>
    </row>
    <row r="470" spans="1:12" ht="15" thickBot="1" x14ac:dyDescent="0.35">
      <c r="A470" s="27"/>
      <c r="B470" s="27"/>
      <c r="C470" s="27"/>
      <c r="D470" s="27"/>
      <c r="E470" s="27"/>
      <c r="F470" s="27"/>
      <c r="G470" s="27"/>
      <c r="H470" s="27"/>
      <c r="I470" s="27"/>
      <c r="J470" s="27"/>
      <c r="K470" s="27"/>
      <c r="L470" s="27"/>
    </row>
    <row r="471" spans="1:12" ht="15" thickBot="1" x14ac:dyDescent="0.35">
      <c r="A471" s="27"/>
      <c r="B471" s="27"/>
      <c r="C471" s="27"/>
      <c r="D471" s="27"/>
      <c r="E471" s="27"/>
      <c r="F471" s="27"/>
      <c r="G471" s="27"/>
      <c r="H471" s="27"/>
      <c r="I471" s="27"/>
      <c r="J471" s="27"/>
      <c r="K471" s="27"/>
      <c r="L471" s="27"/>
    </row>
    <row r="472" spans="1:12" ht="15" thickBot="1" x14ac:dyDescent="0.35">
      <c r="A472" s="27"/>
      <c r="B472" s="27"/>
      <c r="C472" s="27"/>
      <c r="D472" s="27"/>
      <c r="E472" s="27"/>
      <c r="F472" s="27"/>
      <c r="G472" s="27"/>
      <c r="H472" s="27"/>
      <c r="I472" s="27"/>
      <c r="J472" s="27"/>
      <c r="K472" s="27"/>
      <c r="L472" s="27"/>
    </row>
    <row r="473" spans="1:12" ht="15" thickBot="1" x14ac:dyDescent="0.35">
      <c r="A473" s="27"/>
      <c r="B473" s="27"/>
      <c r="C473" s="27"/>
      <c r="D473" s="27"/>
      <c r="E473" s="27"/>
      <c r="F473" s="27"/>
      <c r="G473" s="27"/>
      <c r="H473" s="27"/>
      <c r="I473" s="27"/>
      <c r="J473" s="27"/>
      <c r="K473" s="27"/>
      <c r="L473" s="27"/>
    </row>
    <row r="474" spans="1:12" ht="15" thickBot="1" x14ac:dyDescent="0.35">
      <c r="A474" s="27"/>
      <c r="B474" s="27"/>
      <c r="C474" s="27"/>
      <c r="D474" s="27"/>
      <c r="E474" s="27"/>
      <c r="F474" s="27"/>
      <c r="G474" s="27"/>
      <c r="H474" s="27"/>
      <c r="I474" s="27"/>
      <c r="J474" s="27"/>
      <c r="K474" s="27"/>
      <c r="L474" s="27"/>
    </row>
    <row r="475" spans="1:12" ht="15" thickBot="1" x14ac:dyDescent="0.35">
      <c r="A475" s="27"/>
      <c r="B475" s="27"/>
      <c r="C475" s="27"/>
      <c r="D475" s="27"/>
      <c r="E475" s="27"/>
      <c r="F475" s="27"/>
      <c r="G475" s="27"/>
      <c r="H475" s="27"/>
      <c r="I475" s="27"/>
      <c r="J475" s="27"/>
      <c r="K475" s="27"/>
      <c r="L475" s="27"/>
    </row>
    <row r="476" spans="1:12" ht="15" thickBot="1" x14ac:dyDescent="0.35">
      <c r="A476" s="27"/>
      <c r="B476" s="27"/>
      <c r="C476" s="27"/>
      <c r="D476" s="27"/>
      <c r="E476" s="27"/>
      <c r="F476" s="27"/>
      <c r="G476" s="27"/>
      <c r="H476" s="27"/>
      <c r="I476" s="27"/>
      <c r="J476" s="27"/>
      <c r="K476" s="27"/>
      <c r="L476" s="27"/>
    </row>
    <row r="477" spans="1:12" ht="15" thickBot="1" x14ac:dyDescent="0.35">
      <c r="A477" s="27"/>
      <c r="B477" s="27"/>
      <c r="C477" s="27"/>
      <c r="D477" s="27"/>
      <c r="E477" s="27"/>
      <c r="F477" s="27"/>
      <c r="G477" s="27"/>
      <c r="H477" s="27"/>
      <c r="I477" s="27"/>
      <c r="J477" s="27"/>
      <c r="K477" s="27"/>
      <c r="L477" s="27"/>
    </row>
    <row r="478" spans="1:12" ht="15" thickBot="1" x14ac:dyDescent="0.35">
      <c r="A478" s="27"/>
      <c r="B478" s="27"/>
      <c r="C478" s="27"/>
      <c r="D478" s="27"/>
      <c r="E478" s="27"/>
      <c r="F478" s="27"/>
      <c r="G478" s="27"/>
      <c r="H478" s="27"/>
      <c r="I478" s="27"/>
      <c r="J478" s="27"/>
      <c r="K478" s="27"/>
      <c r="L478" s="27"/>
    </row>
    <row r="479" spans="1:12" ht="15" thickBot="1" x14ac:dyDescent="0.35">
      <c r="A479" s="27"/>
      <c r="B479" s="27"/>
      <c r="C479" s="27"/>
      <c r="D479" s="27"/>
      <c r="E479" s="27"/>
      <c r="F479" s="27"/>
      <c r="G479" s="27"/>
      <c r="H479" s="27"/>
      <c r="I479" s="27"/>
      <c r="J479" s="27"/>
      <c r="K479" s="27"/>
      <c r="L479" s="27"/>
    </row>
    <row r="480" spans="1:12" ht="15" thickBot="1" x14ac:dyDescent="0.35">
      <c r="A480" s="27"/>
      <c r="B480" s="27"/>
      <c r="C480" s="27"/>
      <c r="D480" s="27"/>
      <c r="E480" s="27"/>
      <c r="F480" s="27"/>
      <c r="G480" s="27"/>
      <c r="H480" s="27"/>
      <c r="I480" s="27"/>
      <c r="J480" s="27"/>
      <c r="K480" s="27"/>
      <c r="L480" s="27"/>
    </row>
    <row r="481" spans="1:12" ht="15" thickBot="1" x14ac:dyDescent="0.35">
      <c r="A481" s="27"/>
      <c r="B481" s="27"/>
      <c r="C481" s="27"/>
      <c r="D481" s="27"/>
      <c r="E481" s="27"/>
      <c r="F481" s="27"/>
      <c r="G481" s="27"/>
      <c r="H481" s="27"/>
      <c r="I481" s="27"/>
      <c r="J481" s="27"/>
      <c r="K481" s="27"/>
      <c r="L481" s="27"/>
    </row>
    <row r="482" spans="1:12" ht="15" thickBot="1" x14ac:dyDescent="0.35">
      <c r="A482" s="27"/>
      <c r="B482" s="27"/>
      <c r="C482" s="27"/>
      <c r="D482" s="27"/>
      <c r="E482" s="27"/>
      <c r="F482" s="27"/>
      <c r="G482" s="27"/>
      <c r="H482" s="27"/>
      <c r="I482" s="27"/>
      <c r="J482" s="27"/>
      <c r="K482" s="27"/>
      <c r="L482" s="27"/>
    </row>
    <row r="483" spans="1:12" ht="15" thickBot="1" x14ac:dyDescent="0.35">
      <c r="A483" s="27"/>
      <c r="B483" s="27"/>
      <c r="C483" s="27"/>
      <c r="D483" s="27"/>
      <c r="E483" s="27"/>
      <c r="F483" s="27"/>
      <c r="G483" s="27"/>
      <c r="H483" s="27"/>
      <c r="I483" s="27"/>
      <c r="J483" s="27"/>
      <c r="K483" s="27"/>
      <c r="L483" s="27"/>
    </row>
    <row r="484" spans="1:12" ht="15" thickBot="1" x14ac:dyDescent="0.35">
      <c r="A484" s="27"/>
      <c r="B484" s="27"/>
      <c r="C484" s="27"/>
      <c r="D484" s="27"/>
      <c r="E484" s="27"/>
      <c r="F484" s="27"/>
      <c r="G484" s="27"/>
      <c r="H484" s="27"/>
      <c r="I484" s="27"/>
      <c r="J484" s="27"/>
      <c r="K484" s="27"/>
      <c r="L484" s="27"/>
    </row>
    <row r="485" spans="1:12" ht="15" thickBot="1" x14ac:dyDescent="0.35">
      <c r="A485" s="27"/>
      <c r="B485" s="27"/>
      <c r="C485" s="27"/>
      <c r="D485" s="27"/>
      <c r="E485" s="27"/>
      <c r="F485" s="27"/>
      <c r="G485" s="27"/>
      <c r="H485" s="27"/>
      <c r="I485" s="27"/>
      <c r="J485" s="27"/>
      <c r="K485" s="27"/>
      <c r="L485" s="27"/>
    </row>
    <row r="486" spans="1:12" ht="15" thickBot="1" x14ac:dyDescent="0.35">
      <c r="A486" s="27"/>
      <c r="B486" s="27"/>
      <c r="C486" s="27"/>
      <c r="D486" s="27"/>
      <c r="E486" s="27"/>
      <c r="F486" s="27"/>
      <c r="G486" s="27"/>
      <c r="H486" s="27"/>
      <c r="I486" s="27"/>
      <c r="J486" s="27"/>
      <c r="K486" s="27"/>
      <c r="L486" s="27"/>
    </row>
    <row r="487" spans="1:12" ht="15" thickBot="1" x14ac:dyDescent="0.35">
      <c r="A487" s="27"/>
      <c r="B487" s="27"/>
      <c r="C487" s="27"/>
      <c r="D487" s="27"/>
      <c r="E487" s="27"/>
      <c r="F487" s="27"/>
      <c r="G487" s="27"/>
      <c r="H487" s="27"/>
      <c r="I487" s="27"/>
      <c r="J487" s="27"/>
      <c r="K487" s="27"/>
      <c r="L487" s="27"/>
    </row>
    <row r="488" spans="1:12" ht="15" thickBot="1" x14ac:dyDescent="0.35">
      <c r="A488" s="27"/>
      <c r="B488" s="27"/>
      <c r="C488" s="27"/>
      <c r="D488" s="27"/>
      <c r="E488" s="27"/>
      <c r="F488" s="27"/>
      <c r="G488" s="27"/>
      <c r="H488" s="27"/>
      <c r="I488" s="27"/>
      <c r="J488" s="27"/>
      <c r="K488" s="27"/>
      <c r="L488" s="27"/>
    </row>
    <row r="489" spans="1:12" ht="15" thickBot="1" x14ac:dyDescent="0.35">
      <c r="A489" s="27"/>
      <c r="B489" s="27"/>
      <c r="C489" s="27"/>
      <c r="D489" s="27"/>
      <c r="E489" s="27"/>
      <c r="F489" s="27"/>
      <c r="G489" s="27"/>
      <c r="H489" s="27"/>
      <c r="I489" s="27"/>
      <c r="J489" s="27"/>
      <c r="K489" s="27"/>
      <c r="L489" s="27"/>
    </row>
    <row r="490" spans="1:12" ht="15" thickBot="1" x14ac:dyDescent="0.35">
      <c r="A490" s="27"/>
      <c r="B490" s="27"/>
      <c r="C490" s="27"/>
      <c r="D490" s="27"/>
      <c r="E490" s="27"/>
      <c r="F490" s="27"/>
      <c r="G490" s="27"/>
      <c r="H490" s="27"/>
      <c r="I490" s="27"/>
      <c r="J490" s="27"/>
      <c r="K490" s="27"/>
      <c r="L490" s="27"/>
    </row>
    <row r="491" spans="1:12" ht="15" thickBot="1" x14ac:dyDescent="0.35">
      <c r="A491" s="27"/>
      <c r="B491" s="27"/>
      <c r="C491" s="27"/>
      <c r="D491" s="27"/>
      <c r="E491" s="27"/>
      <c r="F491" s="27"/>
      <c r="G491" s="27"/>
      <c r="H491" s="27"/>
      <c r="I491" s="27"/>
      <c r="J491" s="27"/>
      <c r="K491" s="27"/>
      <c r="L491" s="27"/>
    </row>
    <row r="492" spans="1:12" ht="15" thickBot="1" x14ac:dyDescent="0.35">
      <c r="A492" s="27"/>
      <c r="B492" s="27"/>
      <c r="C492" s="27"/>
      <c r="D492" s="27"/>
      <c r="E492" s="27"/>
      <c r="F492" s="27"/>
      <c r="G492" s="27"/>
      <c r="H492" s="27"/>
      <c r="I492" s="27"/>
      <c r="J492" s="27"/>
      <c r="K492" s="27"/>
      <c r="L492" s="27"/>
    </row>
    <row r="493" spans="1:12" ht="15" thickBot="1" x14ac:dyDescent="0.35">
      <c r="A493" s="27"/>
      <c r="B493" s="27"/>
      <c r="C493" s="27"/>
      <c r="D493" s="27"/>
      <c r="E493" s="27"/>
      <c r="F493" s="27"/>
      <c r="G493" s="27"/>
      <c r="H493" s="27"/>
      <c r="I493" s="27"/>
      <c r="J493" s="27"/>
      <c r="K493" s="27"/>
      <c r="L493" s="27"/>
    </row>
    <row r="494" spans="1:12" ht="15" thickBot="1" x14ac:dyDescent="0.35">
      <c r="A494" s="27"/>
      <c r="B494" s="27"/>
      <c r="C494" s="27"/>
      <c r="D494" s="27"/>
      <c r="E494" s="27"/>
      <c r="F494" s="27"/>
      <c r="G494" s="27"/>
      <c r="H494" s="27"/>
      <c r="I494" s="27"/>
      <c r="J494" s="27"/>
      <c r="K494" s="27"/>
      <c r="L494" s="27"/>
    </row>
    <row r="495" spans="1:12" ht="15" thickBot="1" x14ac:dyDescent="0.35">
      <c r="A495" s="27"/>
      <c r="B495" s="27"/>
      <c r="C495" s="27"/>
      <c r="D495" s="27"/>
      <c r="E495" s="27"/>
      <c r="F495" s="27"/>
      <c r="G495" s="27"/>
      <c r="H495" s="27"/>
      <c r="I495" s="27"/>
      <c r="J495" s="27"/>
      <c r="K495" s="27"/>
      <c r="L495" s="27"/>
    </row>
    <row r="496" spans="1:12" ht="15" thickBot="1" x14ac:dyDescent="0.35">
      <c r="A496" s="27"/>
      <c r="B496" s="27"/>
      <c r="C496" s="27"/>
      <c r="D496" s="27"/>
      <c r="E496" s="27"/>
      <c r="F496" s="27"/>
      <c r="G496" s="27"/>
      <c r="H496" s="27"/>
      <c r="I496" s="27"/>
      <c r="J496" s="27"/>
      <c r="K496" s="27"/>
      <c r="L496" s="27"/>
    </row>
    <row r="497" spans="1:12" ht="15" thickBot="1" x14ac:dyDescent="0.35">
      <c r="A497" s="27"/>
      <c r="B497" s="27"/>
      <c r="C497" s="27"/>
      <c r="D497" s="27"/>
      <c r="E497" s="27"/>
      <c r="F497" s="27"/>
      <c r="G497" s="27"/>
      <c r="H497" s="27"/>
      <c r="I497" s="27"/>
      <c r="J497" s="27"/>
      <c r="K497" s="27"/>
      <c r="L497" s="27"/>
    </row>
    <row r="498" spans="1:12" ht="15" thickBot="1" x14ac:dyDescent="0.35">
      <c r="A498" s="27"/>
      <c r="B498" s="27"/>
      <c r="C498" s="27"/>
      <c r="D498" s="27"/>
      <c r="E498" s="27"/>
      <c r="F498" s="27"/>
      <c r="G498" s="27"/>
      <c r="H498" s="27"/>
      <c r="I498" s="27"/>
      <c r="J498" s="27"/>
      <c r="K498" s="27"/>
      <c r="L498" s="27"/>
    </row>
    <row r="499" spans="1:12" ht="15" thickBot="1" x14ac:dyDescent="0.35">
      <c r="A499" s="27"/>
      <c r="B499" s="27"/>
      <c r="C499" s="27"/>
      <c r="D499" s="27"/>
      <c r="E499" s="27"/>
      <c r="F499" s="27"/>
      <c r="G499" s="27"/>
      <c r="H499" s="27"/>
      <c r="I499" s="27"/>
      <c r="J499" s="27"/>
      <c r="K499" s="27"/>
      <c r="L499" s="27"/>
    </row>
    <row r="500" spans="1:12" ht="15" thickBot="1" x14ac:dyDescent="0.35">
      <c r="A500" s="27"/>
      <c r="B500" s="27"/>
      <c r="C500" s="27"/>
      <c r="D500" s="27"/>
      <c r="E500" s="27"/>
      <c r="F500" s="27"/>
      <c r="G500" s="27"/>
      <c r="H500" s="27"/>
      <c r="I500" s="27"/>
      <c r="J500" s="27"/>
      <c r="K500" s="27"/>
      <c r="L500" s="27"/>
    </row>
    <row r="501" spans="1:12" ht="15" thickBot="1" x14ac:dyDescent="0.35">
      <c r="A501" s="27"/>
      <c r="B501" s="27"/>
      <c r="C501" s="27"/>
      <c r="D501" s="27"/>
      <c r="E501" s="27"/>
      <c r="F501" s="27"/>
      <c r="G501" s="27"/>
      <c r="H501" s="27"/>
      <c r="I501" s="27"/>
      <c r="J501" s="27"/>
      <c r="K501" s="27"/>
      <c r="L501" s="27"/>
    </row>
    <row r="502" spans="1:12" ht="15" thickBot="1" x14ac:dyDescent="0.35">
      <c r="A502" s="27"/>
      <c r="B502" s="27"/>
      <c r="C502" s="27"/>
      <c r="D502" s="27"/>
      <c r="E502" s="27"/>
      <c r="F502" s="27"/>
      <c r="G502" s="27"/>
      <c r="H502" s="27"/>
      <c r="I502" s="27"/>
      <c r="J502" s="27"/>
      <c r="K502" s="27"/>
      <c r="L502" s="27"/>
    </row>
    <row r="503" spans="1:12" ht="15" thickBot="1" x14ac:dyDescent="0.35">
      <c r="A503" s="27"/>
      <c r="B503" s="27"/>
      <c r="C503" s="27"/>
      <c r="D503" s="27"/>
      <c r="E503" s="27"/>
      <c r="F503" s="27"/>
      <c r="G503" s="27"/>
      <c r="H503" s="27"/>
      <c r="I503" s="27"/>
      <c r="J503" s="27"/>
      <c r="K503" s="27"/>
      <c r="L503" s="27"/>
    </row>
    <row r="504" spans="1:12" ht="15" thickBot="1" x14ac:dyDescent="0.35">
      <c r="A504" s="27"/>
      <c r="B504" s="27"/>
      <c r="C504" s="27"/>
      <c r="D504" s="27"/>
      <c r="E504" s="27"/>
      <c r="F504" s="27"/>
      <c r="G504" s="27"/>
      <c r="H504" s="27"/>
      <c r="I504" s="27"/>
      <c r="J504" s="27"/>
      <c r="K504" s="27"/>
      <c r="L504" s="27"/>
    </row>
    <row r="505" spans="1:12" ht="15" thickBot="1" x14ac:dyDescent="0.35">
      <c r="A505" s="27"/>
      <c r="B505" s="27"/>
      <c r="C505" s="27"/>
      <c r="D505" s="27"/>
      <c r="E505" s="27"/>
      <c r="F505" s="27"/>
      <c r="G505" s="27"/>
      <c r="H505" s="27"/>
      <c r="I505" s="27"/>
      <c r="J505" s="27"/>
      <c r="K505" s="27"/>
      <c r="L505" s="27"/>
    </row>
    <row r="506" spans="1:12" ht="15" thickBot="1" x14ac:dyDescent="0.35">
      <c r="A506" s="27"/>
      <c r="B506" s="27"/>
      <c r="C506" s="27"/>
      <c r="D506" s="27"/>
      <c r="E506" s="27"/>
      <c r="F506" s="27"/>
      <c r="G506" s="27"/>
      <c r="H506" s="27"/>
      <c r="I506" s="27"/>
      <c r="J506" s="27"/>
      <c r="K506" s="27"/>
      <c r="L506" s="27"/>
    </row>
    <row r="507" spans="1:12" ht="15" thickBot="1" x14ac:dyDescent="0.35">
      <c r="A507" s="27"/>
      <c r="B507" s="27"/>
      <c r="C507" s="27"/>
      <c r="D507" s="27"/>
      <c r="E507" s="27"/>
      <c r="F507" s="27"/>
      <c r="G507" s="27"/>
      <c r="H507" s="27"/>
      <c r="I507" s="27"/>
      <c r="J507" s="27"/>
      <c r="K507" s="27"/>
      <c r="L507" s="27"/>
    </row>
    <row r="508" spans="1:12" ht="15" thickBot="1" x14ac:dyDescent="0.35">
      <c r="A508" s="27"/>
      <c r="B508" s="27"/>
      <c r="C508" s="27"/>
      <c r="D508" s="27"/>
      <c r="E508" s="27"/>
      <c r="F508" s="27"/>
      <c r="G508" s="27"/>
      <c r="H508" s="27"/>
      <c r="I508" s="27"/>
      <c r="J508" s="27"/>
      <c r="K508" s="27"/>
      <c r="L508" s="27"/>
    </row>
    <row r="509" spans="1:12" ht="15" thickBot="1" x14ac:dyDescent="0.35">
      <c r="A509" s="27"/>
      <c r="B509" s="27"/>
      <c r="C509" s="27"/>
      <c r="D509" s="27"/>
      <c r="E509" s="27"/>
      <c r="F509" s="27"/>
      <c r="G509" s="27"/>
      <c r="H509" s="27"/>
      <c r="I509" s="27"/>
      <c r="J509" s="27"/>
      <c r="K509" s="27"/>
      <c r="L509" s="27"/>
    </row>
    <row r="510" spans="1:12" ht="15" thickBot="1" x14ac:dyDescent="0.35">
      <c r="A510" s="27"/>
      <c r="B510" s="27"/>
      <c r="C510" s="27"/>
      <c r="D510" s="27"/>
      <c r="E510" s="27"/>
      <c r="F510" s="27"/>
      <c r="G510" s="27"/>
      <c r="H510" s="27"/>
      <c r="I510" s="27"/>
      <c r="J510" s="27"/>
      <c r="K510" s="27"/>
      <c r="L510" s="27"/>
    </row>
    <row r="511" spans="1:12" ht="15" thickBot="1" x14ac:dyDescent="0.35">
      <c r="A511" s="27"/>
      <c r="B511" s="27"/>
      <c r="C511" s="27"/>
      <c r="D511" s="27"/>
      <c r="E511" s="27"/>
      <c r="F511" s="27"/>
      <c r="G511" s="27"/>
      <c r="H511" s="27"/>
      <c r="I511" s="27"/>
      <c r="J511" s="27"/>
      <c r="K511" s="27"/>
      <c r="L511" s="27"/>
    </row>
    <row r="512" spans="1:12" ht="15" thickBot="1" x14ac:dyDescent="0.35">
      <c r="A512" s="27"/>
      <c r="B512" s="27"/>
      <c r="C512" s="27"/>
      <c r="D512" s="27"/>
      <c r="E512" s="27"/>
      <c r="F512" s="27"/>
      <c r="G512" s="27"/>
      <c r="H512" s="27"/>
      <c r="I512" s="27"/>
      <c r="J512" s="27"/>
      <c r="K512" s="27"/>
      <c r="L512" s="27"/>
    </row>
    <row r="513" spans="1:12" ht="15" thickBot="1" x14ac:dyDescent="0.35">
      <c r="A513" s="27"/>
      <c r="B513" s="27"/>
      <c r="C513" s="27"/>
      <c r="D513" s="27"/>
      <c r="E513" s="27"/>
      <c r="F513" s="27"/>
      <c r="G513" s="27"/>
      <c r="H513" s="27"/>
      <c r="I513" s="27"/>
      <c r="J513" s="27"/>
      <c r="K513" s="27"/>
      <c r="L513" s="27"/>
    </row>
    <row r="514" spans="1:12" ht="15" thickBot="1" x14ac:dyDescent="0.35">
      <c r="A514" s="27"/>
      <c r="B514" s="27"/>
      <c r="C514" s="27"/>
      <c r="D514" s="27"/>
      <c r="E514" s="27"/>
      <c r="F514" s="27"/>
      <c r="G514" s="27"/>
      <c r="H514" s="27"/>
      <c r="I514" s="27"/>
      <c r="J514" s="27"/>
      <c r="K514" s="27"/>
      <c r="L514" s="27"/>
    </row>
    <row r="515" spans="1:12" ht="15" thickBot="1" x14ac:dyDescent="0.35">
      <c r="A515" s="27"/>
      <c r="B515" s="27"/>
      <c r="C515" s="27"/>
      <c r="D515" s="27"/>
      <c r="E515" s="27"/>
      <c r="F515" s="27"/>
      <c r="G515" s="27"/>
      <c r="H515" s="27"/>
      <c r="I515" s="27"/>
      <c r="J515" s="27"/>
      <c r="K515" s="27"/>
      <c r="L515" s="27"/>
    </row>
    <row r="516" spans="1:12" ht="15" thickBot="1" x14ac:dyDescent="0.35">
      <c r="A516" s="27"/>
      <c r="B516" s="27"/>
      <c r="C516" s="27"/>
      <c r="D516" s="27"/>
      <c r="E516" s="27"/>
      <c r="F516" s="27"/>
      <c r="G516" s="27"/>
      <c r="H516" s="27"/>
      <c r="I516" s="27"/>
      <c r="J516" s="27"/>
      <c r="K516" s="27"/>
      <c r="L516" s="27"/>
    </row>
    <row r="517" spans="1:12" ht="15" thickBot="1" x14ac:dyDescent="0.35">
      <c r="A517" s="27"/>
      <c r="B517" s="27"/>
      <c r="C517" s="27"/>
      <c r="D517" s="27"/>
      <c r="E517" s="27"/>
      <c r="F517" s="27"/>
      <c r="G517" s="27"/>
      <c r="H517" s="27"/>
      <c r="I517" s="27"/>
      <c r="J517" s="27"/>
      <c r="K517" s="27"/>
      <c r="L517" s="27"/>
    </row>
    <row r="518" spans="1:12" ht="15" thickBot="1" x14ac:dyDescent="0.35">
      <c r="A518" s="27"/>
      <c r="B518" s="27"/>
      <c r="C518" s="27"/>
      <c r="D518" s="27"/>
      <c r="E518" s="27"/>
      <c r="F518" s="27"/>
      <c r="G518" s="27"/>
      <c r="H518" s="27"/>
      <c r="I518" s="27"/>
      <c r="J518" s="27"/>
      <c r="K518" s="27"/>
      <c r="L518" s="27"/>
    </row>
    <row r="519" spans="1:12" ht="15" thickBot="1" x14ac:dyDescent="0.35">
      <c r="A519" s="27"/>
      <c r="B519" s="27"/>
      <c r="C519" s="27"/>
      <c r="D519" s="27"/>
      <c r="E519" s="27"/>
      <c r="F519" s="27"/>
      <c r="G519" s="27"/>
      <c r="H519" s="27"/>
      <c r="I519" s="27"/>
      <c r="J519" s="27"/>
      <c r="K519" s="27"/>
      <c r="L519" s="27"/>
    </row>
    <row r="520" spans="1:12" ht="15" thickBot="1" x14ac:dyDescent="0.35">
      <c r="A520" s="27"/>
      <c r="B520" s="27"/>
      <c r="C520" s="27"/>
      <c r="D520" s="27"/>
      <c r="E520" s="27"/>
      <c r="F520" s="27"/>
      <c r="G520" s="27"/>
      <c r="H520" s="27"/>
      <c r="I520" s="27"/>
      <c r="J520" s="27"/>
      <c r="K520" s="27"/>
      <c r="L520" s="27"/>
    </row>
    <row r="521" spans="1:12" ht="15" thickBot="1" x14ac:dyDescent="0.35">
      <c r="A521" s="27"/>
      <c r="B521" s="27"/>
      <c r="C521" s="27"/>
      <c r="D521" s="27"/>
      <c r="E521" s="27"/>
      <c r="F521" s="27"/>
      <c r="G521" s="27"/>
      <c r="H521" s="27"/>
      <c r="I521" s="27"/>
      <c r="J521" s="27"/>
      <c r="K521" s="27"/>
      <c r="L521" s="27"/>
    </row>
    <row r="522" spans="1:12" ht="15" thickBot="1" x14ac:dyDescent="0.35">
      <c r="A522" s="27"/>
      <c r="B522" s="27"/>
      <c r="C522" s="27"/>
      <c r="D522" s="27"/>
      <c r="E522" s="27"/>
      <c r="F522" s="27"/>
      <c r="G522" s="27"/>
      <c r="H522" s="27"/>
      <c r="I522" s="27"/>
      <c r="J522" s="27"/>
      <c r="K522" s="27"/>
      <c r="L522" s="27"/>
    </row>
    <row r="523" spans="1:12" ht="15" thickBot="1" x14ac:dyDescent="0.35">
      <c r="A523" s="27"/>
      <c r="B523" s="27"/>
      <c r="C523" s="27"/>
      <c r="D523" s="27"/>
      <c r="E523" s="27"/>
      <c r="F523" s="27"/>
      <c r="G523" s="27"/>
      <c r="H523" s="27"/>
      <c r="I523" s="27"/>
      <c r="J523" s="27"/>
      <c r="K523" s="27"/>
      <c r="L523" s="27"/>
    </row>
    <row r="524" spans="1:12" ht="15" thickBot="1" x14ac:dyDescent="0.35">
      <c r="A524" s="27"/>
      <c r="B524" s="27"/>
      <c r="C524" s="27"/>
      <c r="D524" s="27"/>
      <c r="E524" s="27"/>
      <c r="F524" s="27"/>
      <c r="G524" s="27"/>
      <c r="H524" s="27"/>
      <c r="I524" s="27"/>
      <c r="J524" s="27"/>
      <c r="K524" s="27"/>
      <c r="L524" s="27"/>
    </row>
    <row r="525" spans="1:12" ht="15" thickBot="1" x14ac:dyDescent="0.35">
      <c r="A525" s="27"/>
      <c r="B525" s="27"/>
      <c r="C525" s="27"/>
      <c r="D525" s="27"/>
      <c r="E525" s="27"/>
      <c r="F525" s="27"/>
      <c r="G525" s="27"/>
      <c r="H525" s="27"/>
      <c r="I525" s="27"/>
      <c r="J525" s="27"/>
      <c r="K525" s="27"/>
      <c r="L525" s="27"/>
    </row>
    <row r="526" spans="1:12" ht="15" thickBot="1" x14ac:dyDescent="0.35">
      <c r="A526" s="27"/>
      <c r="B526" s="27"/>
      <c r="C526" s="27"/>
      <c r="D526" s="27"/>
      <c r="E526" s="27"/>
      <c r="F526" s="27"/>
      <c r="G526" s="27"/>
      <c r="H526" s="27"/>
      <c r="I526" s="27"/>
      <c r="J526" s="27"/>
      <c r="K526" s="27"/>
      <c r="L526" s="27"/>
    </row>
    <row r="527" spans="1:12" ht="15" thickBot="1" x14ac:dyDescent="0.35">
      <c r="A527" s="27"/>
      <c r="B527" s="27"/>
      <c r="C527" s="27"/>
      <c r="D527" s="27"/>
      <c r="E527" s="27"/>
      <c r="F527" s="27"/>
      <c r="G527" s="27"/>
      <c r="H527" s="27"/>
      <c r="I527" s="27"/>
      <c r="J527" s="27"/>
      <c r="K527" s="27"/>
      <c r="L527" s="27"/>
    </row>
    <row r="528" spans="1:12" ht="15" thickBot="1" x14ac:dyDescent="0.35">
      <c r="A528" s="27"/>
      <c r="B528" s="27"/>
      <c r="C528" s="27"/>
      <c r="D528" s="27"/>
      <c r="E528" s="27"/>
      <c r="F528" s="27"/>
      <c r="G528" s="27"/>
      <c r="H528" s="27"/>
      <c r="I528" s="27"/>
      <c r="J528" s="27"/>
      <c r="K528" s="27"/>
      <c r="L528" s="27"/>
    </row>
    <row r="529" spans="1:12" ht="15" thickBot="1" x14ac:dyDescent="0.35">
      <c r="A529" s="27"/>
      <c r="B529" s="27"/>
      <c r="C529" s="27"/>
      <c r="D529" s="27"/>
      <c r="E529" s="27"/>
      <c r="F529" s="27"/>
      <c r="G529" s="27"/>
      <c r="H529" s="27"/>
      <c r="I529" s="27"/>
      <c r="J529" s="27"/>
      <c r="K529" s="27"/>
      <c r="L529" s="27"/>
    </row>
    <row r="530" spans="1:12" ht="15" thickBot="1" x14ac:dyDescent="0.35">
      <c r="A530" s="27"/>
      <c r="B530" s="27"/>
      <c r="C530" s="27"/>
      <c r="D530" s="27"/>
      <c r="E530" s="27"/>
      <c r="F530" s="27"/>
      <c r="G530" s="27"/>
      <c r="H530" s="27"/>
      <c r="I530" s="27"/>
      <c r="J530" s="27"/>
      <c r="K530" s="27"/>
      <c r="L530" s="27"/>
    </row>
    <row r="531" spans="1:12" ht="15" thickBot="1" x14ac:dyDescent="0.35">
      <c r="A531" s="27"/>
      <c r="B531" s="27"/>
      <c r="C531" s="27"/>
      <c r="D531" s="27"/>
      <c r="E531" s="27"/>
      <c r="F531" s="27"/>
      <c r="G531" s="27"/>
      <c r="H531" s="27"/>
      <c r="I531" s="27"/>
      <c r="J531" s="27"/>
      <c r="K531" s="27"/>
      <c r="L531" s="27"/>
    </row>
    <row r="532" spans="1:12" ht="15" thickBot="1" x14ac:dyDescent="0.35">
      <c r="A532" s="27"/>
      <c r="B532" s="27"/>
      <c r="C532" s="27"/>
      <c r="D532" s="27"/>
      <c r="E532" s="27"/>
      <c r="F532" s="27"/>
      <c r="G532" s="27"/>
      <c r="H532" s="27"/>
      <c r="I532" s="27"/>
      <c r="J532" s="27"/>
      <c r="K532" s="27"/>
      <c r="L532" s="27"/>
    </row>
    <row r="533" spans="1:12" ht="15" thickBot="1" x14ac:dyDescent="0.35">
      <c r="A533" s="27"/>
      <c r="B533" s="27"/>
      <c r="C533" s="27"/>
      <c r="D533" s="27"/>
      <c r="E533" s="27"/>
      <c r="F533" s="27"/>
      <c r="G533" s="27"/>
      <c r="H533" s="27"/>
      <c r="I533" s="27"/>
      <c r="J533" s="27"/>
      <c r="K533" s="27"/>
      <c r="L533" s="27"/>
    </row>
    <row r="534" spans="1:12" ht="15" thickBot="1" x14ac:dyDescent="0.35">
      <c r="A534" s="27"/>
      <c r="B534" s="27"/>
      <c r="C534" s="27"/>
      <c r="D534" s="27"/>
      <c r="E534" s="27"/>
      <c r="F534" s="27"/>
      <c r="G534" s="27"/>
      <c r="H534" s="27"/>
      <c r="I534" s="27"/>
      <c r="J534" s="27"/>
      <c r="K534" s="27"/>
      <c r="L534" s="27"/>
    </row>
    <row r="535" spans="1:12" ht="15" thickBot="1" x14ac:dyDescent="0.35">
      <c r="A535" s="27"/>
      <c r="B535" s="27"/>
      <c r="C535" s="27"/>
      <c r="D535" s="27"/>
      <c r="E535" s="27"/>
      <c r="F535" s="27"/>
      <c r="G535" s="27"/>
      <c r="H535" s="27"/>
      <c r="I535" s="27"/>
      <c r="J535" s="27"/>
      <c r="K535" s="27"/>
      <c r="L535" s="27"/>
    </row>
    <row r="536" spans="1:12" ht="15" thickBot="1" x14ac:dyDescent="0.35">
      <c r="A536" s="27"/>
      <c r="B536" s="27"/>
      <c r="C536" s="27"/>
      <c r="D536" s="27"/>
      <c r="E536" s="27"/>
      <c r="F536" s="27"/>
      <c r="G536" s="27"/>
      <c r="H536" s="27"/>
      <c r="I536" s="27"/>
      <c r="J536" s="27"/>
      <c r="K536" s="27"/>
      <c r="L536" s="27"/>
    </row>
    <row r="537" spans="1:12" ht="15" thickBot="1" x14ac:dyDescent="0.35">
      <c r="A537" s="27"/>
      <c r="B537" s="27"/>
      <c r="C537" s="27"/>
      <c r="D537" s="27"/>
      <c r="E537" s="27"/>
      <c r="F537" s="27"/>
      <c r="G537" s="27"/>
      <c r="H537" s="27"/>
      <c r="I537" s="27"/>
      <c r="J537" s="27"/>
      <c r="K537" s="27"/>
      <c r="L537" s="27"/>
    </row>
    <row r="538" spans="1:12" ht="15" thickBot="1" x14ac:dyDescent="0.35">
      <c r="A538" s="27"/>
      <c r="B538" s="27"/>
      <c r="C538" s="27"/>
      <c r="D538" s="27"/>
      <c r="E538" s="27"/>
      <c r="F538" s="27"/>
      <c r="G538" s="27"/>
      <c r="H538" s="27"/>
      <c r="I538" s="27"/>
      <c r="J538" s="27"/>
      <c r="K538" s="27"/>
      <c r="L538" s="27"/>
    </row>
    <row r="539" spans="1:12" ht="15" thickBot="1" x14ac:dyDescent="0.35">
      <c r="A539" s="27"/>
      <c r="B539" s="27"/>
      <c r="C539" s="27"/>
      <c r="D539" s="27"/>
      <c r="E539" s="27"/>
      <c r="F539" s="27"/>
      <c r="G539" s="27"/>
      <c r="H539" s="27"/>
      <c r="I539" s="27"/>
      <c r="J539" s="27"/>
      <c r="K539" s="27"/>
      <c r="L539" s="27"/>
    </row>
    <row r="540" spans="1:12" ht="15" thickBot="1" x14ac:dyDescent="0.35">
      <c r="A540" s="27"/>
      <c r="B540" s="27"/>
      <c r="C540" s="27"/>
      <c r="D540" s="27"/>
      <c r="E540" s="27"/>
      <c r="F540" s="27"/>
      <c r="G540" s="27"/>
      <c r="H540" s="27"/>
      <c r="I540" s="27"/>
      <c r="J540" s="27"/>
      <c r="K540" s="27"/>
      <c r="L540" s="27"/>
    </row>
    <row r="541" spans="1:12" ht="15" thickBot="1" x14ac:dyDescent="0.35">
      <c r="A541" s="27"/>
      <c r="B541" s="27"/>
      <c r="C541" s="27"/>
      <c r="D541" s="27"/>
      <c r="E541" s="27"/>
      <c r="F541" s="27"/>
      <c r="G541" s="27"/>
      <c r="H541" s="27"/>
      <c r="I541" s="27"/>
      <c r="J541" s="27"/>
      <c r="K541" s="27"/>
      <c r="L541" s="27"/>
    </row>
    <row r="542" spans="1:12" ht="15" thickBot="1" x14ac:dyDescent="0.35">
      <c r="A542" s="27"/>
      <c r="B542" s="27"/>
      <c r="C542" s="27"/>
      <c r="D542" s="27"/>
      <c r="E542" s="27"/>
      <c r="F542" s="27"/>
      <c r="G542" s="27"/>
      <c r="H542" s="27"/>
      <c r="I542" s="27"/>
      <c r="J542" s="27"/>
      <c r="K542" s="27"/>
      <c r="L542" s="27"/>
    </row>
    <row r="543" spans="1:12" ht="15" thickBot="1" x14ac:dyDescent="0.35">
      <c r="A543" s="27"/>
      <c r="B543" s="27"/>
      <c r="C543" s="27"/>
      <c r="D543" s="27"/>
      <c r="E543" s="27"/>
      <c r="F543" s="27"/>
      <c r="G543" s="27"/>
      <c r="H543" s="27"/>
      <c r="I543" s="27"/>
      <c r="J543" s="27"/>
      <c r="K543" s="27"/>
      <c r="L543" s="27"/>
    </row>
    <row r="544" spans="1:12" ht="15" thickBot="1" x14ac:dyDescent="0.35">
      <c r="A544" s="27"/>
      <c r="B544" s="27"/>
      <c r="C544" s="27"/>
      <c r="D544" s="27"/>
      <c r="E544" s="27"/>
      <c r="F544" s="27"/>
      <c r="G544" s="27"/>
      <c r="H544" s="27"/>
      <c r="I544" s="27"/>
      <c r="J544" s="27"/>
      <c r="K544" s="27"/>
      <c r="L544" s="27"/>
    </row>
    <row r="545" spans="1:12" ht="15" thickBot="1" x14ac:dyDescent="0.35">
      <c r="A545" s="27"/>
      <c r="B545" s="27"/>
      <c r="C545" s="27"/>
      <c r="D545" s="27"/>
      <c r="E545" s="27"/>
      <c r="F545" s="27"/>
      <c r="G545" s="27"/>
      <c r="H545" s="27"/>
      <c r="I545" s="27"/>
      <c r="J545" s="27"/>
      <c r="K545" s="27"/>
      <c r="L545" s="27"/>
    </row>
    <row r="546" spans="1:12" ht="15" thickBot="1" x14ac:dyDescent="0.35">
      <c r="A546" s="27"/>
      <c r="B546" s="27"/>
      <c r="C546" s="27"/>
      <c r="D546" s="27"/>
      <c r="E546" s="27"/>
      <c r="F546" s="27"/>
      <c r="G546" s="27"/>
      <c r="H546" s="27"/>
      <c r="I546" s="27"/>
      <c r="J546" s="27"/>
      <c r="K546" s="27"/>
      <c r="L546" s="27"/>
    </row>
    <row r="547" spans="1:12" ht="15" thickBot="1" x14ac:dyDescent="0.35">
      <c r="A547" s="27"/>
      <c r="B547" s="27"/>
      <c r="C547" s="27"/>
      <c r="D547" s="27"/>
      <c r="E547" s="27"/>
      <c r="F547" s="27"/>
      <c r="G547" s="27"/>
      <c r="H547" s="27"/>
      <c r="I547" s="27"/>
      <c r="J547" s="27"/>
      <c r="K547" s="27"/>
      <c r="L547" s="27"/>
    </row>
    <row r="548" spans="1:12" ht="15" thickBot="1" x14ac:dyDescent="0.35">
      <c r="A548" s="27"/>
      <c r="B548" s="27"/>
      <c r="C548" s="27"/>
      <c r="D548" s="27"/>
      <c r="E548" s="27"/>
      <c r="F548" s="27"/>
      <c r="G548" s="27"/>
      <c r="H548" s="27"/>
      <c r="I548" s="27"/>
      <c r="J548" s="27"/>
      <c r="K548" s="27"/>
      <c r="L548" s="27"/>
    </row>
    <row r="549" spans="1:12" ht="15" thickBot="1" x14ac:dyDescent="0.35">
      <c r="A549" s="27"/>
      <c r="B549" s="27"/>
      <c r="C549" s="27"/>
      <c r="D549" s="27"/>
      <c r="E549" s="27"/>
      <c r="F549" s="27"/>
      <c r="G549" s="27"/>
      <c r="H549" s="27"/>
      <c r="I549" s="27"/>
      <c r="J549" s="27"/>
      <c r="K549" s="27"/>
      <c r="L549" s="27"/>
    </row>
    <row r="550" spans="1:12" ht="15" thickBot="1" x14ac:dyDescent="0.35">
      <c r="A550" s="27"/>
      <c r="B550" s="27"/>
      <c r="C550" s="27"/>
      <c r="D550" s="27"/>
      <c r="E550" s="27"/>
      <c r="F550" s="27"/>
      <c r="G550" s="27"/>
      <c r="H550" s="27"/>
      <c r="I550" s="27"/>
      <c r="J550" s="27"/>
      <c r="K550" s="27"/>
      <c r="L550" s="27"/>
    </row>
    <row r="551" spans="1:12" ht="15" thickBot="1" x14ac:dyDescent="0.35">
      <c r="A551" s="27"/>
      <c r="B551" s="27"/>
      <c r="C551" s="27"/>
      <c r="D551" s="27"/>
      <c r="E551" s="27"/>
      <c r="F551" s="27"/>
      <c r="G551" s="27"/>
      <c r="H551" s="27"/>
      <c r="I551" s="27"/>
      <c r="J551" s="27"/>
      <c r="K551" s="27"/>
      <c r="L551" s="27"/>
    </row>
    <row r="552" spans="1:12" ht="15" thickBot="1" x14ac:dyDescent="0.35">
      <c r="A552" s="27"/>
      <c r="B552" s="27"/>
      <c r="C552" s="27"/>
      <c r="D552" s="27"/>
      <c r="E552" s="27"/>
      <c r="F552" s="27"/>
      <c r="G552" s="27"/>
      <c r="H552" s="27"/>
      <c r="I552" s="27"/>
      <c r="J552" s="27"/>
      <c r="K552" s="27"/>
      <c r="L552" s="27"/>
    </row>
    <row r="553" spans="1:12" ht="15" thickBot="1" x14ac:dyDescent="0.35">
      <c r="A553" s="27"/>
      <c r="B553" s="27"/>
      <c r="C553" s="27"/>
      <c r="D553" s="27"/>
      <c r="E553" s="27"/>
      <c r="F553" s="27"/>
      <c r="G553" s="27"/>
      <c r="H553" s="27"/>
      <c r="I553" s="27"/>
      <c r="J553" s="27"/>
      <c r="K553" s="27"/>
      <c r="L553" s="27"/>
    </row>
    <row r="554" spans="1:12" ht="15" thickBot="1" x14ac:dyDescent="0.35">
      <c r="A554" s="27"/>
      <c r="B554" s="27"/>
      <c r="C554" s="27"/>
      <c r="D554" s="27"/>
      <c r="E554" s="27"/>
      <c r="F554" s="27"/>
      <c r="G554" s="27"/>
      <c r="H554" s="27"/>
      <c r="I554" s="27"/>
      <c r="J554" s="27"/>
      <c r="K554" s="27"/>
      <c r="L554" s="27"/>
    </row>
    <row r="555" spans="1:12" ht="15" thickBot="1" x14ac:dyDescent="0.35">
      <c r="A555" s="27"/>
      <c r="B555" s="27"/>
      <c r="C555" s="27"/>
      <c r="D555" s="27"/>
      <c r="E555" s="27"/>
      <c r="F555" s="27"/>
      <c r="G555" s="27"/>
      <c r="H555" s="27"/>
      <c r="I555" s="27"/>
      <c r="J555" s="27"/>
      <c r="K555" s="27"/>
      <c r="L555" s="27"/>
    </row>
    <row r="556" spans="1:12" ht="15" thickBot="1" x14ac:dyDescent="0.35">
      <c r="A556" s="27"/>
      <c r="B556" s="27"/>
      <c r="C556" s="27"/>
      <c r="D556" s="27"/>
      <c r="E556" s="27"/>
      <c r="F556" s="27"/>
      <c r="G556" s="27"/>
      <c r="H556" s="27"/>
      <c r="I556" s="27"/>
      <c r="J556" s="27"/>
      <c r="K556" s="27"/>
      <c r="L556" s="27"/>
    </row>
    <row r="557" spans="1:12" ht="15" thickBot="1" x14ac:dyDescent="0.35">
      <c r="A557" s="27"/>
      <c r="B557" s="27"/>
      <c r="C557" s="27"/>
      <c r="D557" s="27"/>
      <c r="E557" s="27"/>
      <c r="F557" s="27"/>
      <c r="G557" s="27"/>
      <c r="H557" s="27"/>
      <c r="I557" s="27"/>
      <c r="J557" s="27"/>
      <c r="K557" s="27"/>
      <c r="L557" s="27"/>
    </row>
    <row r="558" spans="1:12" ht="15" thickBot="1" x14ac:dyDescent="0.35">
      <c r="A558" s="27"/>
      <c r="B558" s="27"/>
      <c r="C558" s="27"/>
      <c r="D558" s="27"/>
      <c r="E558" s="27"/>
      <c r="F558" s="27"/>
      <c r="G558" s="27"/>
      <c r="H558" s="27"/>
      <c r="I558" s="27"/>
      <c r="J558" s="27"/>
      <c r="K558" s="27"/>
      <c r="L558" s="27"/>
    </row>
    <row r="559" spans="1:12" ht="15" thickBot="1" x14ac:dyDescent="0.35">
      <c r="A559" s="27"/>
      <c r="B559" s="27"/>
      <c r="C559" s="27"/>
      <c r="D559" s="27"/>
      <c r="E559" s="27"/>
      <c r="F559" s="27"/>
      <c r="G559" s="27"/>
      <c r="H559" s="27"/>
      <c r="I559" s="27"/>
      <c r="J559" s="27"/>
      <c r="K559" s="27"/>
      <c r="L559" s="27"/>
    </row>
    <row r="560" spans="1:12" ht="15" thickBot="1" x14ac:dyDescent="0.35">
      <c r="A560" s="27"/>
      <c r="B560" s="27"/>
      <c r="C560" s="27"/>
      <c r="D560" s="27"/>
      <c r="E560" s="27"/>
      <c r="F560" s="27"/>
      <c r="G560" s="27"/>
      <c r="H560" s="27"/>
      <c r="I560" s="27"/>
      <c r="J560" s="27"/>
      <c r="K560" s="27"/>
      <c r="L560" s="27"/>
    </row>
    <row r="561" spans="1:12" ht="15" thickBot="1" x14ac:dyDescent="0.35">
      <c r="A561" s="27"/>
      <c r="B561" s="27"/>
      <c r="C561" s="27"/>
      <c r="D561" s="27"/>
      <c r="E561" s="27"/>
      <c r="F561" s="27"/>
      <c r="G561" s="27"/>
      <c r="H561" s="27"/>
      <c r="I561" s="27"/>
      <c r="J561" s="27"/>
      <c r="K561" s="27"/>
      <c r="L561" s="27"/>
    </row>
    <row r="562" spans="1:12" ht="15" thickBot="1" x14ac:dyDescent="0.35">
      <c r="A562" s="27"/>
      <c r="B562" s="27"/>
      <c r="C562" s="27"/>
      <c r="D562" s="27"/>
      <c r="E562" s="27"/>
      <c r="F562" s="27"/>
      <c r="G562" s="27"/>
      <c r="H562" s="27"/>
      <c r="I562" s="27"/>
      <c r="J562" s="27"/>
      <c r="K562" s="27"/>
      <c r="L562" s="27"/>
    </row>
    <row r="563" spans="1:12" ht="15" thickBot="1" x14ac:dyDescent="0.35">
      <c r="A563" s="27"/>
      <c r="B563" s="27"/>
      <c r="C563" s="27"/>
      <c r="D563" s="27"/>
      <c r="E563" s="27"/>
      <c r="F563" s="27"/>
      <c r="G563" s="27"/>
      <c r="H563" s="27"/>
      <c r="I563" s="27"/>
      <c r="J563" s="27"/>
      <c r="K563" s="27"/>
      <c r="L563" s="27"/>
    </row>
    <row r="564" spans="1:12" ht="15" thickBot="1" x14ac:dyDescent="0.35">
      <c r="A564" s="27"/>
      <c r="B564" s="27"/>
      <c r="C564" s="27"/>
      <c r="D564" s="27"/>
      <c r="E564" s="27"/>
      <c r="F564" s="27"/>
      <c r="G564" s="27"/>
      <c r="H564" s="27"/>
      <c r="I564" s="27"/>
      <c r="J564" s="27"/>
      <c r="K564" s="27"/>
      <c r="L564" s="27"/>
    </row>
    <row r="565" spans="1:12" ht="15" thickBot="1" x14ac:dyDescent="0.35">
      <c r="A565" s="27"/>
      <c r="B565" s="27"/>
      <c r="C565" s="27"/>
      <c r="D565" s="27"/>
      <c r="E565" s="27"/>
      <c r="F565" s="27"/>
      <c r="G565" s="27"/>
      <c r="H565" s="27"/>
      <c r="I565" s="27"/>
      <c r="J565" s="27"/>
      <c r="K565" s="27"/>
      <c r="L565" s="27"/>
    </row>
    <row r="566" spans="1:12" ht="15" thickBot="1" x14ac:dyDescent="0.35">
      <c r="A566" s="27"/>
      <c r="B566" s="27"/>
      <c r="C566" s="27"/>
      <c r="D566" s="27"/>
      <c r="E566" s="27"/>
      <c r="F566" s="27"/>
      <c r="G566" s="27"/>
      <c r="H566" s="27"/>
      <c r="I566" s="27"/>
      <c r="J566" s="27"/>
      <c r="K566" s="27"/>
      <c r="L566" s="27"/>
    </row>
    <row r="567" spans="1:12" ht="15" thickBot="1" x14ac:dyDescent="0.35">
      <c r="A567" s="27"/>
      <c r="B567" s="27"/>
      <c r="C567" s="27"/>
      <c r="D567" s="27"/>
      <c r="E567" s="27"/>
      <c r="F567" s="27"/>
      <c r="G567" s="27"/>
      <c r="H567" s="27"/>
      <c r="I567" s="27"/>
      <c r="J567" s="27"/>
      <c r="K567" s="27"/>
      <c r="L567" s="27"/>
    </row>
    <row r="568" spans="1:12" ht="15" thickBot="1" x14ac:dyDescent="0.35">
      <c r="A568" s="27"/>
      <c r="B568" s="27"/>
      <c r="C568" s="27"/>
      <c r="D568" s="27"/>
      <c r="E568" s="27"/>
      <c r="F568" s="27"/>
      <c r="G568" s="27"/>
      <c r="H568" s="27"/>
      <c r="I568" s="27"/>
      <c r="J568" s="27"/>
      <c r="K568" s="27"/>
      <c r="L568" s="27"/>
    </row>
    <row r="569" spans="1:12" ht="15" thickBot="1" x14ac:dyDescent="0.35">
      <c r="A569" s="27"/>
      <c r="B569" s="27"/>
      <c r="C569" s="27"/>
      <c r="D569" s="27"/>
      <c r="E569" s="27"/>
      <c r="F569" s="27"/>
      <c r="G569" s="27"/>
      <c r="H569" s="27"/>
      <c r="I569" s="27"/>
      <c r="J569" s="27"/>
      <c r="K569" s="27"/>
      <c r="L569" s="27"/>
    </row>
    <row r="570" spans="1:12" ht="15" thickBot="1" x14ac:dyDescent="0.35">
      <c r="A570" s="27"/>
      <c r="B570" s="27"/>
      <c r="C570" s="27"/>
      <c r="D570" s="27"/>
      <c r="E570" s="27"/>
      <c r="F570" s="27"/>
      <c r="G570" s="27"/>
      <c r="H570" s="27"/>
      <c r="I570" s="27"/>
      <c r="J570" s="27"/>
      <c r="K570" s="27"/>
      <c r="L570" s="27"/>
    </row>
    <row r="571" spans="1:12" ht="15" thickBot="1" x14ac:dyDescent="0.35">
      <c r="A571" s="27"/>
      <c r="B571" s="27"/>
      <c r="C571" s="27"/>
      <c r="D571" s="27"/>
      <c r="E571" s="27"/>
      <c r="F571" s="27"/>
      <c r="G571" s="27"/>
      <c r="H571" s="27"/>
      <c r="I571" s="27"/>
      <c r="J571" s="27"/>
      <c r="K571" s="27"/>
      <c r="L571" s="27"/>
    </row>
    <row r="572" spans="1:12" ht="15" thickBot="1" x14ac:dyDescent="0.35">
      <c r="A572" s="27"/>
      <c r="B572" s="27"/>
      <c r="C572" s="27"/>
      <c r="D572" s="27"/>
      <c r="E572" s="27"/>
      <c r="F572" s="27"/>
      <c r="G572" s="27"/>
      <c r="H572" s="27"/>
      <c r="I572" s="27"/>
      <c r="J572" s="27"/>
      <c r="K572" s="27"/>
      <c r="L572" s="27"/>
    </row>
    <row r="573" spans="1:12" ht="15" thickBot="1" x14ac:dyDescent="0.35">
      <c r="A573" s="27"/>
      <c r="B573" s="27"/>
      <c r="C573" s="27"/>
      <c r="D573" s="27"/>
      <c r="E573" s="27"/>
      <c r="F573" s="27"/>
      <c r="G573" s="27"/>
      <c r="H573" s="27"/>
      <c r="I573" s="27"/>
      <c r="J573" s="27"/>
      <c r="K573" s="27"/>
      <c r="L573" s="27"/>
    </row>
    <row r="574" spans="1:12" ht="15" thickBot="1" x14ac:dyDescent="0.35">
      <c r="A574" s="27"/>
      <c r="B574" s="27"/>
      <c r="C574" s="27"/>
      <c r="D574" s="27"/>
      <c r="E574" s="27"/>
      <c r="F574" s="27"/>
      <c r="G574" s="27"/>
      <c r="H574" s="27"/>
      <c r="I574" s="27"/>
      <c r="J574" s="27"/>
      <c r="K574" s="27"/>
      <c r="L574" s="27"/>
    </row>
    <row r="575" spans="1:12" ht="15" thickBot="1" x14ac:dyDescent="0.35">
      <c r="A575" s="27"/>
      <c r="B575" s="27"/>
      <c r="C575" s="27"/>
      <c r="D575" s="27"/>
      <c r="E575" s="27"/>
      <c r="F575" s="27"/>
      <c r="G575" s="27"/>
      <c r="H575" s="27"/>
      <c r="I575" s="27"/>
      <c r="J575" s="27"/>
      <c r="K575" s="27"/>
      <c r="L575" s="27"/>
    </row>
    <row r="576" spans="1:12" ht="15" thickBot="1" x14ac:dyDescent="0.35">
      <c r="A576" s="27"/>
      <c r="B576" s="27"/>
      <c r="C576" s="27"/>
      <c r="D576" s="27"/>
      <c r="E576" s="27"/>
      <c r="F576" s="27"/>
      <c r="G576" s="27"/>
      <c r="H576" s="27"/>
      <c r="I576" s="27"/>
      <c r="J576" s="27"/>
      <c r="K576" s="27"/>
      <c r="L576" s="27"/>
    </row>
    <row r="577" spans="1:12" ht="15" thickBot="1" x14ac:dyDescent="0.35">
      <c r="A577" s="27"/>
      <c r="B577" s="27"/>
      <c r="C577" s="27"/>
      <c r="D577" s="27"/>
      <c r="E577" s="27"/>
      <c r="F577" s="27"/>
      <c r="G577" s="27"/>
      <c r="H577" s="27"/>
      <c r="I577" s="27"/>
      <c r="J577" s="27"/>
      <c r="K577" s="27"/>
      <c r="L577" s="27"/>
    </row>
    <row r="578" spans="1:12" ht="15" thickBot="1" x14ac:dyDescent="0.35">
      <c r="A578" s="27"/>
      <c r="B578" s="27"/>
      <c r="C578" s="27"/>
      <c r="D578" s="27"/>
      <c r="E578" s="27"/>
      <c r="F578" s="27"/>
      <c r="G578" s="27"/>
      <c r="H578" s="27"/>
      <c r="I578" s="27"/>
      <c r="J578" s="27"/>
      <c r="K578" s="27"/>
      <c r="L578" s="27"/>
    </row>
    <row r="579" spans="1:12" ht="15" thickBot="1" x14ac:dyDescent="0.35">
      <c r="A579" s="27"/>
      <c r="B579" s="27"/>
      <c r="C579" s="27"/>
      <c r="D579" s="27"/>
      <c r="E579" s="27"/>
      <c r="F579" s="27"/>
      <c r="G579" s="27"/>
      <c r="H579" s="27"/>
      <c r="I579" s="27"/>
      <c r="J579" s="27"/>
      <c r="K579" s="27"/>
      <c r="L579" s="27"/>
    </row>
    <row r="580" spans="1:12" ht="15" thickBot="1" x14ac:dyDescent="0.35">
      <c r="A580" s="27"/>
      <c r="B580" s="27"/>
      <c r="C580" s="27"/>
      <c r="D580" s="27"/>
      <c r="E580" s="27"/>
      <c r="F580" s="27"/>
      <c r="G580" s="27"/>
      <c r="H580" s="27"/>
      <c r="I580" s="27"/>
      <c r="J580" s="27"/>
      <c r="K580" s="27"/>
      <c r="L580" s="27"/>
    </row>
    <row r="581" spans="1:12" ht="15" thickBot="1" x14ac:dyDescent="0.35">
      <c r="A581" s="27"/>
      <c r="B581" s="27"/>
      <c r="C581" s="27"/>
      <c r="D581" s="27"/>
      <c r="E581" s="27"/>
      <c r="F581" s="27"/>
      <c r="G581" s="27"/>
      <c r="H581" s="27"/>
      <c r="I581" s="27"/>
      <c r="J581" s="27"/>
      <c r="K581" s="27"/>
      <c r="L581" s="27"/>
    </row>
    <row r="582" spans="1:12" ht="15" thickBot="1" x14ac:dyDescent="0.35">
      <c r="A582" s="27"/>
      <c r="B582" s="27"/>
      <c r="C582" s="27"/>
      <c r="D582" s="27"/>
      <c r="E582" s="27"/>
      <c r="F582" s="27"/>
      <c r="G582" s="27"/>
      <c r="H582" s="27"/>
      <c r="I582" s="27"/>
      <c r="J582" s="27"/>
      <c r="K582" s="27"/>
      <c r="L582" s="27"/>
    </row>
    <row r="583" spans="1:12" ht="15" thickBot="1" x14ac:dyDescent="0.35">
      <c r="A583" s="27"/>
      <c r="B583" s="27"/>
      <c r="C583" s="27"/>
      <c r="D583" s="27"/>
      <c r="E583" s="27"/>
      <c r="F583" s="27"/>
      <c r="G583" s="27"/>
      <c r="H583" s="27"/>
      <c r="I583" s="27"/>
      <c r="J583" s="27"/>
      <c r="K583" s="27"/>
      <c r="L583" s="27"/>
    </row>
    <row r="584" spans="1:12" ht="15" thickBot="1" x14ac:dyDescent="0.35">
      <c r="A584" s="27"/>
      <c r="B584" s="27"/>
      <c r="C584" s="27"/>
      <c r="D584" s="27"/>
      <c r="E584" s="27"/>
      <c r="F584" s="27"/>
      <c r="G584" s="27"/>
      <c r="H584" s="27"/>
      <c r="I584" s="27"/>
      <c r="J584" s="27"/>
      <c r="K584" s="27"/>
      <c r="L584" s="27"/>
    </row>
    <row r="585" spans="1:12" ht="15" thickBot="1" x14ac:dyDescent="0.35">
      <c r="A585" s="27"/>
      <c r="B585" s="27"/>
      <c r="C585" s="27"/>
      <c r="D585" s="27"/>
      <c r="E585" s="27"/>
      <c r="F585" s="27"/>
      <c r="G585" s="27"/>
      <c r="H585" s="27"/>
      <c r="I585" s="27"/>
      <c r="J585" s="27"/>
      <c r="K585" s="27"/>
      <c r="L585" s="27"/>
    </row>
    <row r="586" spans="1:12" ht="15" thickBot="1" x14ac:dyDescent="0.35">
      <c r="A586" s="27"/>
      <c r="B586" s="27"/>
      <c r="C586" s="27"/>
      <c r="D586" s="27"/>
      <c r="E586" s="27"/>
      <c r="F586" s="27"/>
      <c r="G586" s="27"/>
      <c r="H586" s="27"/>
      <c r="I586" s="27"/>
      <c r="J586" s="27"/>
      <c r="K586" s="27"/>
      <c r="L586" s="27"/>
    </row>
    <row r="587" spans="1:12" ht="15" thickBot="1" x14ac:dyDescent="0.35">
      <c r="A587" s="27"/>
      <c r="B587" s="27"/>
      <c r="C587" s="27"/>
      <c r="D587" s="27"/>
      <c r="E587" s="27"/>
      <c r="F587" s="27"/>
      <c r="G587" s="27"/>
      <c r="H587" s="27"/>
      <c r="I587" s="27"/>
      <c r="J587" s="27"/>
      <c r="K587" s="27"/>
      <c r="L587" s="27"/>
    </row>
    <row r="588" spans="1:12" ht="15" thickBot="1" x14ac:dyDescent="0.35">
      <c r="A588" s="27"/>
      <c r="B588" s="27"/>
      <c r="C588" s="27"/>
      <c r="D588" s="27"/>
      <c r="E588" s="27"/>
      <c r="F588" s="27"/>
      <c r="G588" s="27"/>
      <c r="H588" s="27"/>
      <c r="I588" s="27"/>
      <c r="J588" s="27"/>
      <c r="K588" s="27"/>
      <c r="L588" s="27"/>
    </row>
    <row r="589" spans="1:12" ht="15" thickBot="1" x14ac:dyDescent="0.35">
      <c r="A589" s="27"/>
      <c r="B589" s="27"/>
      <c r="C589" s="27"/>
      <c r="D589" s="27"/>
      <c r="E589" s="27"/>
      <c r="F589" s="27"/>
      <c r="G589" s="27"/>
      <c r="H589" s="27"/>
      <c r="I589" s="27"/>
      <c r="J589" s="27"/>
      <c r="K589" s="27"/>
      <c r="L589" s="27"/>
    </row>
    <row r="590" spans="1:12" ht="15" thickBot="1" x14ac:dyDescent="0.35">
      <c r="A590" s="27"/>
      <c r="B590" s="27"/>
      <c r="C590" s="27"/>
      <c r="D590" s="27"/>
      <c r="E590" s="27"/>
      <c r="F590" s="27"/>
      <c r="G590" s="27"/>
      <c r="H590" s="27"/>
      <c r="I590" s="27"/>
      <c r="J590" s="27"/>
      <c r="K590" s="27"/>
      <c r="L590" s="27"/>
    </row>
    <row r="591" spans="1:12" ht="15" thickBot="1" x14ac:dyDescent="0.35">
      <c r="A591" s="27"/>
      <c r="B591" s="27"/>
      <c r="C591" s="27"/>
      <c r="D591" s="27"/>
      <c r="E591" s="27"/>
      <c r="F591" s="27"/>
      <c r="G591" s="27"/>
      <c r="H591" s="27"/>
      <c r="I591" s="27"/>
      <c r="J591" s="27"/>
      <c r="K591" s="27"/>
      <c r="L591" s="27"/>
    </row>
    <row r="592" spans="1:12" ht="15" thickBot="1" x14ac:dyDescent="0.35">
      <c r="A592" s="27"/>
      <c r="B592" s="27"/>
      <c r="C592" s="27"/>
      <c r="D592" s="27"/>
      <c r="E592" s="27"/>
      <c r="F592" s="27"/>
      <c r="G592" s="27"/>
      <c r="H592" s="27"/>
      <c r="I592" s="27"/>
      <c r="J592" s="27"/>
      <c r="K592" s="27"/>
      <c r="L592" s="27"/>
    </row>
    <row r="593" spans="1:12" ht="15" thickBot="1" x14ac:dyDescent="0.35">
      <c r="A593" s="27"/>
      <c r="B593" s="27"/>
      <c r="C593" s="27"/>
      <c r="D593" s="27"/>
      <c r="E593" s="27"/>
      <c r="F593" s="27"/>
      <c r="G593" s="27"/>
      <c r="H593" s="27"/>
      <c r="I593" s="27"/>
      <c r="J593" s="27"/>
      <c r="K593" s="27"/>
      <c r="L593" s="27"/>
    </row>
    <row r="594" spans="1:12" ht="15" thickBot="1" x14ac:dyDescent="0.35">
      <c r="A594" s="27"/>
      <c r="B594" s="27"/>
      <c r="C594" s="27"/>
      <c r="D594" s="27"/>
      <c r="E594" s="27"/>
      <c r="F594" s="27"/>
      <c r="G594" s="27"/>
      <c r="H594" s="27"/>
      <c r="I594" s="27"/>
      <c r="J594" s="27"/>
      <c r="K594" s="27"/>
      <c r="L594" s="27"/>
    </row>
    <row r="595" spans="1:12" ht="15" thickBot="1" x14ac:dyDescent="0.35">
      <c r="A595" s="27"/>
      <c r="B595" s="27"/>
      <c r="C595" s="27"/>
      <c r="D595" s="27"/>
      <c r="E595" s="27"/>
      <c r="F595" s="27"/>
      <c r="G595" s="27"/>
      <c r="H595" s="27"/>
      <c r="I595" s="27"/>
      <c r="J595" s="27"/>
      <c r="K595" s="27"/>
      <c r="L595" s="27"/>
    </row>
    <row r="596" spans="1:12" ht="15" thickBot="1" x14ac:dyDescent="0.35">
      <c r="A596" s="27"/>
      <c r="B596" s="27"/>
      <c r="C596" s="27"/>
      <c r="D596" s="27"/>
      <c r="E596" s="27"/>
      <c r="F596" s="27"/>
      <c r="G596" s="27"/>
      <c r="H596" s="27"/>
      <c r="I596" s="27"/>
      <c r="J596" s="27"/>
      <c r="K596" s="27"/>
      <c r="L596" s="27"/>
    </row>
    <row r="597" spans="1:12" ht="15" thickBot="1" x14ac:dyDescent="0.35">
      <c r="A597" s="27"/>
      <c r="B597" s="27"/>
      <c r="C597" s="27"/>
      <c r="D597" s="27"/>
      <c r="E597" s="27"/>
      <c r="F597" s="27"/>
      <c r="G597" s="27"/>
      <c r="H597" s="27"/>
      <c r="I597" s="27"/>
      <c r="J597" s="27"/>
      <c r="K597" s="27"/>
      <c r="L597" s="27"/>
    </row>
    <row r="598" spans="1:12" ht="15" thickBot="1" x14ac:dyDescent="0.35">
      <c r="A598" s="27"/>
      <c r="B598" s="27"/>
      <c r="C598" s="27"/>
      <c r="D598" s="27"/>
      <c r="E598" s="27"/>
      <c r="F598" s="27"/>
      <c r="G598" s="27"/>
      <c r="H598" s="27"/>
      <c r="I598" s="27"/>
      <c r="J598" s="27"/>
      <c r="K598" s="27"/>
      <c r="L598" s="27"/>
    </row>
    <row r="599" spans="1:12" ht="15" thickBot="1" x14ac:dyDescent="0.35">
      <c r="A599" s="27"/>
      <c r="B599" s="27"/>
      <c r="C599" s="27"/>
      <c r="D599" s="27"/>
      <c r="E599" s="27"/>
      <c r="F599" s="27"/>
      <c r="G599" s="27"/>
      <c r="H599" s="27"/>
      <c r="I599" s="27"/>
      <c r="J599" s="27"/>
      <c r="K599" s="27"/>
      <c r="L599" s="27"/>
    </row>
    <row r="600" spans="1:12" ht="15" thickBot="1" x14ac:dyDescent="0.35">
      <c r="A600" s="27"/>
      <c r="B600" s="27"/>
      <c r="C600" s="27"/>
      <c r="D600" s="27"/>
      <c r="E600" s="27"/>
      <c r="F600" s="27"/>
      <c r="G600" s="27"/>
      <c r="H600" s="27"/>
      <c r="I600" s="27"/>
      <c r="J600" s="27"/>
      <c r="K600" s="27"/>
      <c r="L600" s="27"/>
    </row>
    <row r="601" spans="1:12" ht="15" thickBot="1" x14ac:dyDescent="0.35">
      <c r="A601" s="27"/>
      <c r="B601" s="27"/>
      <c r="C601" s="27"/>
      <c r="D601" s="27"/>
      <c r="E601" s="27"/>
      <c r="F601" s="27"/>
      <c r="G601" s="27"/>
      <c r="H601" s="27"/>
      <c r="I601" s="27"/>
      <c r="J601" s="27"/>
      <c r="K601" s="27"/>
      <c r="L601" s="27"/>
    </row>
    <row r="602" spans="1:12" ht="15" thickBot="1" x14ac:dyDescent="0.35">
      <c r="A602" s="27"/>
      <c r="B602" s="27"/>
      <c r="C602" s="27"/>
      <c r="D602" s="27"/>
      <c r="E602" s="27"/>
      <c r="F602" s="27"/>
      <c r="G602" s="27"/>
      <c r="H602" s="27"/>
      <c r="I602" s="27"/>
      <c r="J602" s="27"/>
      <c r="K602" s="27"/>
      <c r="L602" s="27"/>
    </row>
    <row r="603" spans="1:12" ht="15" thickBot="1" x14ac:dyDescent="0.35">
      <c r="A603" s="27"/>
      <c r="B603" s="27"/>
      <c r="C603" s="27"/>
      <c r="D603" s="27"/>
      <c r="E603" s="27"/>
      <c r="F603" s="27"/>
      <c r="G603" s="27"/>
      <c r="H603" s="27"/>
      <c r="I603" s="27"/>
      <c r="J603" s="27"/>
      <c r="K603" s="27"/>
      <c r="L603" s="27"/>
    </row>
    <row r="604" spans="1:12" ht="15" thickBot="1" x14ac:dyDescent="0.35">
      <c r="A604" s="27"/>
      <c r="B604" s="27"/>
      <c r="C604" s="27"/>
      <c r="D604" s="27"/>
      <c r="E604" s="27"/>
      <c r="F604" s="27"/>
      <c r="G604" s="27"/>
      <c r="H604" s="27"/>
      <c r="I604" s="27"/>
      <c r="J604" s="27"/>
      <c r="K604" s="27"/>
      <c r="L604" s="27"/>
    </row>
    <row r="605" spans="1:12" ht="15" thickBot="1" x14ac:dyDescent="0.35">
      <c r="A605" s="27"/>
      <c r="B605" s="27"/>
      <c r="C605" s="27"/>
      <c r="D605" s="27"/>
      <c r="E605" s="27"/>
      <c r="F605" s="27"/>
      <c r="G605" s="27"/>
      <c r="H605" s="27"/>
      <c r="I605" s="27"/>
      <c r="J605" s="27"/>
      <c r="K605" s="27"/>
      <c r="L605" s="27"/>
    </row>
    <row r="606" spans="1:12" ht="15" thickBot="1" x14ac:dyDescent="0.35">
      <c r="A606" s="27"/>
      <c r="B606" s="27"/>
      <c r="C606" s="27"/>
      <c r="D606" s="27"/>
      <c r="E606" s="27"/>
      <c r="F606" s="27"/>
      <c r="G606" s="27"/>
      <c r="H606" s="27"/>
      <c r="I606" s="27"/>
      <c r="J606" s="27"/>
      <c r="K606" s="27"/>
      <c r="L606" s="27"/>
    </row>
    <row r="607" spans="1:12" ht="15" thickBot="1" x14ac:dyDescent="0.35">
      <c r="A607" s="27"/>
      <c r="B607" s="27"/>
      <c r="C607" s="27"/>
      <c r="D607" s="27"/>
      <c r="E607" s="27"/>
      <c r="F607" s="27"/>
      <c r="G607" s="27"/>
      <c r="H607" s="27"/>
      <c r="I607" s="27"/>
      <c r="J607" s="27"/>
      <c r="K607" s="27"/>
      <c r="L607" s="27"/>
    </row>
    <row r="608" spans="1:12" ht="15" thickBot="1" x14ac:dyDescent="0.35">
      <c r="A608" s="27"/>
      <c r="B608" s="27"/>
      <c r="C608" s="27"/>
      <c r="D608" s="27"/>
      <c r="E608" s="27"/>
      <c r="F608" s="27"/>
      <c r="G608" s="27"/>
      <c r="H608" s="27"/>
      <c r="I608" s="27"/>
      <c r="J608" s="27"/>
      <c r="K608" s="27"/>
      <c r="L608" s="27"/>
    </row>
    <row r="609" spans="1:12" ht="15" thickBot="1" x14ac:dyDescent="0.35">
      <c r="A609" s="27"/>
      <c r="B609" s="27"/>
      <c r="C609" s="27"/>
      <c r="D609" s="27"/>
      <c r="E609" s="27"/>
      <c r="F609" s="27"/>
      <c r="G609" s="27"/>
      <c r="H609" s="27"/>
      <c r="I609" s="27"/>
      <c r="J609" s="27"/>
      <c r="K609" s="27"/>
      <c r="L609" s="27"/>
    </row>
    <row r="610" spans="1:12" ht="15" thickBot="1" x14ac:dyDescent="0.35">
      <c r="A610" s="27"/>
      <c r="B610" s="27"/>
      <c r="C610" s="27"/>
      <c r="D610" s="27"/>
      <c r="E610" s="27"/>
      <c r="F610" s="27"/>
      <c r="G610" s="27"/>
      <c r="H610" s="27"/>
      <c r="I610" s="27"/>
      <c r="J610" s="27"/>
      <c r="K610" s="27"/>
      <c r="L610" s="27"/>
    </row>
    <row r="611" spans="1:12" ht="15" thickBot="1" x14ac:dyDescent="0.35">
      <c r="A611" s="27"/>
      <c r="B611" s="27"/>
      <c r="C611" s="27"/>
      <c r="D611" s="27"/>
      <c r="E611" s="27"/>
      <c r="F611" s="27"/>
      <c r="G611" s="27"/>
      <c r="H611" s="27"/>
      <c r="I611" s="27"/>
      <c r="J611" s="27"/>
      <c r="K611" s="27"/>
      <c r="L611" s="27"/>
    </row>
    <row r="612" spans="1:12" ht="15" thickBot="1" x14ac:dyDescent="0.35">
      <c r="A612" s="27"/>
      <c r="B612" s="27"/>
      <c r="C612" s="27"/>
      <c r="D612" s="27"/>
      <c r="E612" s="27"/>
      <c r="F612" s="27"/>
      <c r="G612" s="27"/>
      <c r="H612" s="27"/>
      <c r="I612" s="27"/>
      <c r="J612" s="27"/>
      <c r="K612" s="27"/>
      <c r="L612" s="27"/>
    </row>
    <row r="613" spans="1:12" ht="15" thickBot="1" x14ac:dyDescent="0.35">
      <c r="A613" s="27"/>
      <c r="B613" s="27"/>
      <c r="C613" s="27"/>
      <c r="D613" s="27"/>
      <c r="E613" s="27"/>
      <c r="F613" s="27"/>
      <c r="G613" s="27"/>
      <c r="H613" s="27"/>
      <c r="I613" s="27"/>
      <c r="J613" s="27"/>
      <c r="K613" s="27"/>
      <c r="L613" s="27"/>
    </row>
    <row r="614" spans="1:12" ht="15" thickBot="1" x14ac:dyDescent="0.35">
      <c r="A614" s="27"/>
      <c r="B614" s="27"/>
      <c r="C614" s="27"/>
      <c r="D614" s="27"/>
      <c r="E614" s="27"/>
      <c r="F614" s="27"/>
      <c r="G614" s="27"/>
      <c r="H614" s="27"/>
      <c r="I614" s="27"/>
      <c r="J614" s="27"/>
      <c r="K614" s="27"/>
      <c r="L614" s="27"/>
    </row>
    <row r="615" spans="1:12" ht="15" thickBot="1" x14ac:dyDescent="0.35">
      <c r="A615" s="27"/>
      <c r="B615" s="27"/>
      <c r="C615" s="27"/>
      <c r="D615" s="27"/>
      <c r="E615" s="27"/>
      <c r="F615" s="27"/>
      <c r="G615" s="27"/>
      <c r="H615" s="27"/>
      <c r="I615" s="27"/>
      <c r="J615" s="27"/>
      <c r="K615" s="27"/>
      <c r="L615" s="27"/>
    </row>
    <row r="616" spans="1:12" ht="15" thickBot="1" x14ac:dyDescent="0.35">
      <c r="A616" s="27"/>
      <c r="B616" s="27"/>
      <c r="C616" s="27"/>
      <c r="D616" s="27"/>
      <c r="E616" s="27"/>
      <c r="F616" s="27"/>
      <c r="G616" s="27"/>
      <c r="H616" s="27"/>
      <c r="I616" s="27"/>
      <c r="J616" s="27"/>
      <c r="K616" s="27"/>
      <c r="L616" s="27"/>
    </row>
    <row r="617" spans="1:12" ht="15" thickBot="1" x14ac:dyDescent="0.35">
      <c r="A617" s="27"/>
      <c r="B617" s="27"/>
      <c r="C617" s="27"/>
      <c r="D617" s="27"/>
      <c r="E617" s="27"/>
      <c r="F617" s="27"/>
      <c r="G617" s="27"/>
      <c r="H617" s="27"/>
      <c r="I617" s="27"/>
      <c r="J617" s="27"/>
      <c r="K617" s="27"/>
      <c r="L617" s="27"/>
    </row>
    <row r="618" spans="1:12" ht="15" thickBot="1" x14ac:dyDescent="0.35">
      <c r="A618" s="27"/>
      <c r="B618" s="27"/>
      <c r="C618" s="27"/>
      <c r="D618" s="27"/>
      <c r="E618" s="27"/>
      <c r="F618" s="27"/>
      <c r="G618" s="27"/>
      <c r="H618" s="27"/>
      <c r="I618" s="27"/>
      <c r="J618" s="27"/>
      <c r="K618" s="27"/>
      <c r="L618" s="27"/>
    </row>
    <row r="619" spans="1:12" ht="15" thickBot="1" x14ac:dyDescent="0.35">
      <c r="A619" s="27"/>
      <c r="B619" s="27"/>
      <c r="C619" s="27"/>
      <c r="D619" s="27"/>
      <c r="E619" s="27"/>
      <c r="F619" s="27"/>
      <c r="G619" s="27"/>
      <c r="H619" s="27"/>
      <c r="I619" s="27"/>
      <c r="J619" s="27"/>
      <c r="K619" s="27"/>
      <c r="L619" s="27"/>
    </row>
    <row r="620" spans="1:12" ht="15" thickBot="1" x14ac:dyDescent="0.35">
      <c r="A620" s="27"/>
      <c r="B620" s="27"/>
      <c r="C620" s="27"/>
      <c r="D620" s="27"/>
      <c r="E620" s="27"/>
      <c r="F620" s="27"/>
      <c r="G620" s="27"/>
      <c r="H620" s="27"/>
      <c r="I620" s="27"/>
      <c r="J620" s="27"/>
      <c r="K620" s="27"/>
      <c r="L620" s="27"/>
    </row>
    <row r="621" spans="1:12" ht="15" thickBot="1" x14ac:dyDescent="0.35">
      <c r="A621" s="27"/>
      <c r="B621" s="27"/>
      <c r="C621" s="27"/>
      <c r="D621" s="27"/>
      <c r="E621" s="27"/>
      <c r="F621" s="27"/>
      <c r="G621" s="27"/>
      <c r="H621" s="27"/>
      <c r="I621" s="27"/>
      <c r="J621" s="27"/>
      <c r="K621" s="27"/>
      <c r="L621" s="27"/>
    </row>
    <row r="622" spans="1:12" ht="15" thickBot="1" x14ac:dyDescent="0.35">
      <c r="A622" s="27"/>
      <c r="B622" s="27"/>
      <c r="C622" s="27"/>
      <c r="D622" s="27"/>
      <c r="E622" s="27"/>
      <c r="F622" s="27"/>
      <c r="G622" s="27"/>
      <c r="H622" s="27"/>
      <c r="I622" s="27"/>
      <c r="J622" s="27"/>
      <c r="K622" s="27"/>
      <c r="L622" s="27"/>
    </row>
    <row r="623" spans="1:12" ht="15" thickBot="1" x14ac:dyDescent="0.35">
      <c r="A623" s="27"/>
      <c r="B623" s="27"/>
      <c r="C623" s="27"/>
      <c r="D623" s="27"/>
      <c r="E623" s="27"/>
      <c r="F623" s="27"/>
      <c r="G623" s="27"/>
      <c r="H623" s="27"/>
      <c r="I623" s="27"/>
      <c r="J623" s="27"/>
      <c r="K623" s="27"/>
      <c r="L623" s="27"/>
    </row>
    <row r="624" spans="1:12" ht="15" thickBot="1" x14ac:dyDescent="0.35">
      <c r="A624" s="27"/>
      <c r="B624" s="27"/>
      <c r="C624" s="27"/>
      <c r="D624" s="27"/>
      <c r="E624" s="27"/>
      <c r="F624" s="27"/>
      <c r="G624" s="27"/>
      <c r="H624" s="27"/>
      <c r="I624" s="27"/>
      <c r="J624" s="27"/>
      <c r="K624" s="27"/>
      <c r="L624" s="27"/>
    </row>
    <row r="625" spans="1:12" ht="15" thickBot="1" x14ac:dyDescent="0.35">
      <c r="A625" s="27"/>
      <c r="B625" s="27"/>
      <c r="C625" s="27"/>
      <c r="D625" s="27"/>
      <c r="E625" s="27"/>
      <c r="F625" s="27"/>
      <c r="G625" s="27"/>
      <c r="H625" s="27"/>
      <c r="I625" s="27"/>
      <c r="J625" s="27"/>
      <c r="K625" s="27"/>
      <c r="L625" s="27"/>
    </row>
    <row r="626" spans="1:12" ht="15" thickBot="1" x14ac:dyDescent="0.35">
      <c r="A626" s="27"/>
      <c r="B626" s="27"/>
      <c r="C626" s="27"/>
      <c r="D626" s="27"/>
      <c r="E626" s="27"/>
      <c r="F626" s="27"/>
      <c r="G626" s="27"/>
      <c r="H626" s="27"/>
      <c r="I626" s="27"/>
      <c r="J626" s="27"/>
      <c r="K626" s="27"/>
      <c r="L626" s="27"/>
    </row>
    <row r="627" spans="1:12" ht="15" thickBot="1" x14ac:dyDescent="0.35">
      <c r="A627" s="27"/>
      <c r="B627" s="27"/>
      <c r="C627" s="27"/>
      <c r="D627" s="27"/>
      <c r="E627" s="27"/>
      <c r="F627" s="27"/>
      <c r="G627" s="27"/>
      <c r="H627" s="27"/>
      <c r="I627" s="27"/>
      <c r="J627" s="27"/>
      <c r="K627" s="27"/>
      <c r="L627" s="27"/>
    </row>
    <row r="628" spans="1:12" ht="15" thickBot="1" x14ac:dyDescent="0.35">
      <c r="A628" s="27"/>
      <c r="B628" s="27"/>
      <c r="C628" s="27"/>
      <c r="D628" s="27"/>
      <c r="E628" s="27"/>
      <c r="F628" s="27"/>
      <c r="G628" s="27"/>
      <c r="H628" s="27"/>
      <c r="I628" s="27"/>
      <c r="J628" s="27"/>
      <c r="K628" s="27"/>
      <c r="L628" s="27"/>
    </row>
    <row r="629" spans="1:12" ht="15" thickBot="1" x14ac:dyDescent="0.35">
      <c r="A629" s="27"/>
      <c r="B629" s="27"/>
      <c r="C629" s="27"/>
      <c r="D629" s="27"/>
      <c r="E629" s="27"/>
      <c r="F629" s="27"/>
      <c r="G629" s="27"/>
      <c r="H629" s="27"/>
      <c r="I629" s="27"/>
      <c r="J629" s="27"/>
      <c r="K629" s="27"/>
      <c r="L629" s="27"/>
    </row>
    <row r="630" spans="1:12" ht="15" thickBot="1" x14ac:dyDescent="0.35">
      <c r="A630" s="27"/>
      <c r="B630" s="27"/>
      <c r="C630" s="27"/>
      <c r="D630" s="27"/>
      <c r="E630" s="27"/>
      <c r="F630" s="27"/>
      <c r="G630" s="27"/>
      <c r="H630" s="27"/>
      <c r="I630" s="27"/>
      <c r="J630" s="27"/>
      <c r="K630" s="27"/>
      <c r="L630" s="27"/>
    </row>
    <row r="631" spans="1:12" ht="15" thickBot="1" x14ac:dyDescent="0.35">
      <c r="A631" s="27"/>
      <c r="B631" s="27"/>
      <c r="C631" s="27"/>
      <c r="D631" s="27"/>
      <c r="E631" s="27"/>
      <c r="F631" s="27"/>
      <c r="G631" s="27"/>
      <c r="H631" s="27"/>
      <c r="I631" s="27"/>
      <c r="J631" s="27"/>
      <c r="K631" s="27"/>
      <c r="L631" s="27"/>
    </row>
    <row r="632" spans="1:12" ht="15" thickBot="1" x14ac:dyDescent="0.35">
      <c r="A632" s="27"/>
      <c r="B632" s="27"/>
      <c r="C632" s="27"/>
      <c r="D632" s="27"/>
      <c r="E632" s="27"/>
      <c r="F632" s="27"/>
      <c r="G632" s="27"/>
      <c r="H632" s="27"/>
      <c r="I632" s="27"/>
      <c r="J632" s="27"/>
      <c r="K632" s="27"/>
      <c r="L632" s="27"/>
    </row>
    <row r="633" spans="1:12" ht="15" thickBot="1" x14ac:dyDescent="0.35">
      <c r="A633" s="27"/>
      <c r="B633" s="27"/>
      <c r="C633" s="27"/>
      <c r="D633" s="27"/>
      <c r="E633" s="27"/>
      <c r="F633" s="27"/>
      <c r="G633" s="27"/>
      <c r="H633" s="27"/>
      <c r="I633" s="27"/>
      <c r="J633" s="27"/>
      <c r="K633" s="27"/>
      <c r="L633" s="27"/>
    </row>
    <row r="634" spans="1:12" ht="15" thickBot="1" x14ac:dyDescent="0.35">
      <c r="A634" s="27"/>
      <c r="B634" s="27"/>
      <c r="C634" s="27"/>
      <c r="D634" s="27"/>
      <c r="E634" s="27"/>
      <c r="F634" s="27"/>
      <c r="G634" s="27"/>
      <c r="H634" s="27"/>
      <c r="I634" s="27"/>
      <c r="J634" s="27"/>
      <c r="K634" s="27"/>
      <c r="L634" s="27"/>
    </row>
    <row r="635" spans="1:12" ht="15" thickBot="1" x14ac:dyDescent="0.35">
      <c r="A635" s="27"/>
      <c r="B635" s="27"/>
      <c r="C635" s="27"/>
      <c r="D635" s="27"/>
      <c r="E635" s="27"/>
      <c r="F635" s="27"/>
      <c r="G635" s="27"/>
      <c r="H635" s="27"/>
      <c r="I635" s="27"/>
      <c r="J635" s="27"/>
      <c r="K635" s="27"/>
      <c r="L635" s="27"/>
    </row>
    <row r="636" spans="1:12" ht="15" thickBot="1" x14ac:dyDescent="0.35">
      <c r="A636" s="27"/>
      <c r="B636" s="27"/>
      <c r="C636" s="27"/>
      <c r="D636" s="27"/>
      <c r="E636" s="27"/>
      <c r="F636" s="27"/>
      <c r="G636" s="27"/>
      <c r="H636" s="27"/>
      <c r="I636" s="27"/>
      <c r="J636" s="27"/>
      <c r="K636" s="27"/>
      <c r="L636" s="27"/>
    </row>
    <row r="637" spans="1:12" ht="15" thickBot="1" x14ac:dyDescent="0.35">
      <c r="A637" s="27"/>
      <c r="B637" s="27"/>
      <c r="C637" s="27"/>
      <c r="D637" s="27"/>
      <c r="E637" s="27"/>
      <c r="F637" s="27"/>
      <c r="G637" s="27"/>
      <c r="H637" s="27"/>
      <c r="I637" s="27"/>
      <c r="J637" s="27"/>
      <c r="K637" s="27"/>
      <c r="L637" s="27"/>
    </row>
    <row r="638" spans="1:12" ht="15" thickBot="1" x14ac:dyDescent="0.35">
      <c r="A638" s="27"/>
      <c r="B638" s="27"/>
      <c r="C638" s="27"/>
      <c r="D638" s="27"/>
      <c r="E638" s="27"/>
      <c r="F638" s="27"/>
      <c r="G638" s="27"/>
      <c r="H638" s="27"/>
      <c r="I638" s="27"/>
      <c r="J638" s="27"/>
      <c r="K638" s="27"/>
      <c r="L638" s="27"/>
    </row>
    <row r="639" spans="1:12" ht="15" thickBot="1" x14ac:dyDescent="0.35">
      <c r="A639" s="27"/>
      <c r="B639" s="27"/>
      <c r="C639" s="27"/>
      <c r="D639" s="27"/>
      <c r="E639" s="27"/>
      <c r="F639" s="27"/>
      <c r="G639" s="27"/>
      <c r="H639" s="27"/>
      <c r="I639" s="27"/>
      <c r="J639" s="27"/>
      <c r="K639" s="27"/>
      <c r="L639" s="27"/>
    </row>
    <row r="640" spans="1:12" ht="15" thickBot="1" x14ac:dyDescent="0.35">
      <c r="A640" s="27"/>
      <c r="B640" s="27"/>
      <c r="C640" s="27"/>
      <c r="D640" s="27"/>
      <c r="E640" s="27"/>
      <c r="F640" s="27"/>
      <c r="G640" s="27"/>
      <c r="H640" s="27"/>
      <c r="I640" s="27"/>
      <c r="J640" s="27"/>
      <c r="K640" s="27"/>
      <c r="L640" s="27"/>
    </row>
    <row r="641" spans="1:12" ht="15" thickBot="1" x14ac:dyDescent="0.35">
      <c r="A641" s="27"/>
      <c r="B641" s="27"/>
      <c r="C641" s="27"/>
      <c r="D641" s="27"/>
      <c r="E641" s="27"/>
      <c r="F641" s="27"/>
      <c r="G641" s="27"/>
      <c r="H641" s="27"/>
      <c r="I641" s="27"/>
      <c r="J641" s="27"/>
      <c r="K641" s="27"/>
      <c r="L641" s="27"/>
    </row>
    <row r="642" spans="1:12" ht="15" thickBot="1" x14ac:dyDescent="0.35">
      <c r="A642" s="27"/>
      <c r="B642" s="27"/>
      <c r="C642" s="27"/>
      <c r="D642" s="27"/>
      <c r="E642" s="27"/>
      <c r="F642" s="27"/>
      <c r="G642" s="27"/>
      <c r="H642" s="27"/>
      <c r="I642" s="27"/>
      <c r="J642" s="27"/>
      <c r="K642" s="27"/>
      <c r="L642" s="27"/>
    </row>
    <row r="643" spans="1:12" ht="15" thickBot="1" x14ac:dyDescent="0.35">
      <c r="A643" s="27"/>
      <c r="B643" s="27"/>
      <c r="C643" s="27"/>
      <c r="D643" s="27"/>
      <c r="E643" s="27"/>
      <c r="F643" s="27"/>
      <c r="G643" s="27"/>
      <c r="H643" s="27"/>
      <c r="I643" s="27"/>
      <c r="J643" s="27"/>
      <c r="K643" s="27"/>
      <c r="L643" s="27"/>
    </row>
    <row r="644" spans="1:12" ht="15" thickBot="1" x14ac:dyDescent="0.35">
      <c r="A644" s="27"/>
      <c r="B644" s="27"/>
      <c r="C644" s="27"/>
      <c r="D644" s="27"/>
      <c r="E644" s="27"/>
      <c r="F644" s="27"/>
      <c r="G644" s="27"/>
      <c r="H644" s="27"/>
      <c r="I644" s="27"/>
      <c r="J644" s="27"/>
      <c r="K644" s="27"/>
      <c r="L644" s="27"/>
    </row>
    <row r="645" spans="1:12" ht="15" thickBot="1" x14ac:dyDescent="0.35">
      <c r="A645" s="27"/>
      <c r="B645" s="27"/>
      <c r="C645" s="27"/>
      <c r="D645" s="27"/>
      <c r="E645" s="27"/>
      <c r="F645" s="27"/>
      <c r="G645" s="27"/>
      <c r="H645" s="27"/>
      <c r="I645" s="27"/>
      <c r="J645" s="27"/>
      <c r="K645" s="27"/>
      <c r="L645" s="27"/>
    </row>
    <row r="646" spans="1:12" ht="15" thickBot="1" x14ac:dyDescent="0.35">
      <c r="A646" s="27"/>
      <c r="B646" s="27"/>
      <c r="C646" s="27"/>
      <c r="D646" s="27"/>
      <c r="E646" s="27"/>
      <c r="F646" s="27"/>
      <c r="G646" s="27"/>
      <c r="H646" s="27"/>
      <c r="I646" s="27"/>
      <c r="J646" s="27"/>
      <c r="K646" s="27"/>
      <c r="L646" s="27"/>
    </row>
    <row r="647" spans="1:12" ht="15" thickBot="1" x14ac:dyDescent="0.35">
      <c r="A647" s="27"/>
      <c r="B647" s="27"/>
      <c r="C647" s="27"/>
      <c r="D647" s="27"/>
      <c r="E647" s="27"/>
      <c r="F647" s="27"/>
      <c r="G647" s="27"/>
      <c r="H647" s="27"/>
      <c r="I647" s="27"/>
      <c r="J647" s="27"/>
      <c r="K647" s="27"/>
      <c r="L647" s="27"/>
    </row>
    <row r="648" spans="1:12" ht="15" thickBot="1" x14ac:dyDescent="0.35">
      <c r="A648" s="27"/>
      <c r="B648" s="27"/>
      <c r="C648" s="27"/>
      <c r="D648" s="27"/>
      <c r="E648" s="27"/>
      <c r="F648" s="27"/>
      <c r="G648" s="27"/>
      <c r="H648" s="27"/>
      <c r="I648" s="27"/>
      <c r="J648" s="27"/>
      <c r="K648" s="27"/>
      <c r="L648" s="27"/>
    </row>
    <row r="649" spans="1:12" ht="15" thickBot="1" x14ac:dyDescent="0.35">
      <c r="A649" s="27"/>
      <c r="B649" s="27"/>
      <c r="C649" s="27"/>
      <c r="D649" s="27"/>
      <c r="E649" s="27"/>
      <c r="F649" s="27"/>
      <c r="G649" s="27"/>
      <c r="H649" s="27"/>
      <c r="I649" s="27"/>
      <c r="J649" s="27"/>
      <c r="K649" s="27"/>
      <c r="L649" s="27"/>
    </row>
    <row r="650" spans="1:12" ht="15" thickBot="1" x14ac:dyDescent="0.35">
      <c r="A650" s="27"/>
      <c r="B650" s="27"/>
      <c r="C650" s="27"/>
      <c r="D650" s="27"/>
      <c r="E650" s="27"/>
      <c r="F650" s="27"/>
      <c r="G650" s="27"/>
      <c r="H650" s="27"/>
      <c r="I650" s="27"/>
      <c r="J650" s="27"/>
      <c r="K650" s="27"/>
      <c r="L650" s="27"/>
    </row>
    <row r="651" spans="1:12" ht="15" thickBot="1" x14ac:dyDescent="0.35">
      <c r="A651" s="27"/>
      <c r="B651" s="27"/>
      <c r="C651" s="27"/>
      <c r="D651" s="27"/>
      <c r="E651" s="27"/>
      <c r="F651" s="27"/>
      <c r="G651" s="27"/>
      <c r="H651" s="27"/>
      <c r="I651" s="27"/>
      <c r="J651" s="27"/>
      <c r="K651" s="27"/>
      <c r="L651" s="27"/>
    </row>
    <row r="652" spans="1:12" ht="15" thickBot="1" x14ac:dyDescent="0.35">
      <c r="A652" s="27"/>
      <c r="B652" s="27"/>
      <c r="C652" s="27"/>
      <c r="D652" s="27"/>
      <c r="E652" s="27"/>
      <c r="F652" s="27"/>
      <c r="G652" s="27"/>
      <c r="H652" s="27"/>
      <c r="I652" s="27"/>
      <c r="J652" s="27"/>
      <c r="K652" s="27"/>
      <c r="L652" s="27"/>
    </row>
    <row r="653" spans="1:12" ht="15" thickBot="1" x14ac:dyDescent="0.35">
      <c r="A653" s="27"/>
      <c r="B653" s="27"/>
      <c r="C653" s="27"/>
      <c r="D653" s="27"/>
      <c r="E653" s="27"/>
      <c r="F653" s="27"/>
      <c r="G653" s="27"/>
      <c r="H653" s="27"/>
      <c r="I653" s="27"/>
      <c r="J653" s="27"/>
      <c r="K653" s="27"/>
      <c r="L653" s="27"/>
    </row>
    <row r="654" spans="1:12" ht="15" thickBot="1" x14ac:dyDescent="0.35">
      <c r="A654" s="27"/>
      <c r="B654" s="27"/>
      <c r="C654" s="27"/>
      <c r="D654" s="27"/>
      <c r="E654" s="27"/>
      <c r="F654" s="27"/>
      <c r="G654" s="27"/>
      <c r="H654" s="27"/>
      <c r="I654" s="27"/>
      <c r="J654" s="27"/>
      <c r="K654" s="27"/>
      <c r="L654" s="27"/>
    </row>
    <row r="655" spans="1:12" ht="15" thickBot="1" x14ac:dyDescent="0.35">
      <c r="A655" s="27"/>
      <c r="B655" s="27"/>
      <c r="C655" s="27"/>
      <c r="D655" s="27"/>
      <c r="E655" s="27"/>
      <c r="F655" s="27"/>
      <c r="G655" s="27"/>
      <c r="H655" s="27"/>
      <c r="I655" s="27"/>
      <c r="J655" s="27"/>
      <c r="K655" s="27"/>
      <c r="L655" s="27"/>
    </row>
    <row r="656" spans="1:12" ht="15" thickBot="1" x14ac:dyDescent="0.35">
      <c r="A656" s="27"/>
      <c r="B656" s="27"/>
      <c r="C656" s="27"/>
      <c r="D656" s="27"/>
      <c r="E656" s="27"/>
      <c r="F656" s="27"/>
      <c r="G656" s="27"/>
      <c r="H656" s="27"/>
      <c r="I656" s="27"/>
      <c r="J656" s="27"/>
      <c r="K656" s="27"/>
      <c r="L656" s="27"/>
    </row>
    <row r="657" spans="1:12" ht="15" thickBot="1" x14ac:dyDescent="0.35">
      <c r="A657" s="27"/>
      <c r="B657" s="27"/>
      <c r="C657" s="27"/>
      <c r="D657" s="27"/>
      <c r="E657" s="27"/>
      <c r="F657" s="27"/>
      <c r="G657" s="27"/>
      <c r="H657" s="27"/>
      <c r="I657" s="27"/>
      <c r="J657" s="27"/>
      <c r="K657" s="27"/>
      <c r="L657" s="27"/>
    </row>
    <row r="658" spans="1:12" ht="15" thickBot="1" x14ac:dyDescent="0.35">
      <c r="A658" s="27"/>
      <c r="B658" s="27"/>
      <c r="C658" s="27"/>
      <c r="D658" s="27"/>
      <c r="E658" s="27"/>
      <c r="F658" s="27"/>
      <c r="G658" s="27"/>
      <c r="H658" s="27"/>
      <c r="I658" s="27"/>
      <c r="J658" s="27"/>
      <c r="K658" s="27"/>
      <c r="L658" s="27"/>
    </row>
    <row r="659" spans="1:12" ht="15" thickBot="1" x14ac:dyDescent="0.35">
      <c r="A659" s="27"/>
      <c r="B659" s="27"/>
      <c r="C659" s="27"/>
      <c r="D659" s="27"/>
      <c r="E659" s="27"/>
      <c r="F659" s="27"/>
      <c r="G659" s="27"/>
      <c r="H659" s="27"/>
      <c r="I659" s="27"/>
      <c r="J659" s="27"/>
      <c r="K659" s="27"/>
      <c r="L659" s="27"/>
    </row>
    <row r="660" spans="1:12" ht="15" thickBot="1" x14ac:dyDescent="0.35">
      <c r="A660" s="27"/>
      <c r="B660" s="27"/>
      <c r="C660" s="27"/>
      <c r="D660" s="27"/>
      <c r="E660" s="27"/>
      <c r="F660" s="27"/>
      <c r="G660" s="27"/>
      <c r="H660" s="27"/>
      <c r="I660" s="27"/>
      <c r="J660" s="27"/>
      <c r="K660" s="27"/>
      <c r="L660" s="27"/>
    </row>
    <row r="661" spans="1:12" ht="15" thickBot="1" x14ac:dyDescent="0.35">
      <c r="A661" s="27"/>
      <c r="B661" s="27"/>
      <c r="C661" s="27"/>
      <c r="D661" s="27"/>
      <c r="E661" s="27"/>
      <c r="F661" s="27"/>
      <c r="G661" s="27"/>
      <c r="H661" s="27"/>
      <c r="I661" s="27"/>
      <c r="J661" s="27"/>
      <c r="K661" s="27"/>
      <c r="L661" s="27"/>
    </row>
    <row r="662" spans="1:12" ht="15" thickBot="1" x14ac:dyDescent="0.35">
      <c r="A662" s="27"/>
      <c r="B662" s="27"/>
      <c r="C662" s="27"/>
      <c r="D662" s="27"/>
      <c r="E662" s="27"/>
      <c r="F662" s="27"/>
      <c r="G662" s="27"/>
      <c r="H662" s="27"/>
      <c r="I662" s="27"/>
      <c r="J662" s="27"/>
      <c r="K662" s="27"/>
      <c r="L662" s="27"/>
    </row>
    <row r="663" spans="1:12" ht="15" thickBot="1" x14ac:dyDescent="0.35">
      <c r="A663" s="27"/>
      <c r="B663" s="27"/>
      <c r="C663" s="27"/>
      <c r="D663" s="27"/>
      <c r="E663" s="27"/>
      <c r="F663" s="27"/>
      <c r="G663" s="27"/>
      <c r="H663" s="27"/>
      <c r="I663" s="27"/>
      <c r="J663" s="27"/>
      <c r="K663" s="27"/>
      <c r="L663" s="27"/>
    </row>
    <row r="664" spans="1:12" ht="15" thickBot="1" x14ac:dyDescent="0.35">
      <c r="A664" s="27"/>
      <c r="B664" s="27"/>
      <c r="C664" s="27"/>
      <c r="D664" s="27"/>
      <c r="E664" s="27"/>
      <c r="F664" s="27"/>
      <c r="G664" s="27"/>
      <c r="H664" s="27"/>
      <c r="I664" s="27"/>
      <c r="J664" s="27"/>
      <c r="K664" s="27"/>
      <c r="L664" s="27"/>
    </row>
    <row r="665" spans="1:12" ht="15" thickBot="1" x14ac:dyDescent="0.35">
      <c r="A665" s="27"/>
      <c r="B665" s="27"/>
      <c r="C665" s="27"/>
      <c r="D665" s="27"/>
      <c r="E665" s="27"/>
      <c r="F665" s="27"/>
      <c r="G665" s="27"/>
      <c r="H665" s="27"/>
      <c r="I665" s="27"/>
      <c r="J665" s="27"/>
      <c r="K665" s="27"/>
      <c r="L665" s="27"/>
    </row>
    <row r="666" spans="1:12" ht="15" thickBot="1" x14ac:dyDescent="0.35">
      <c r="A666" s="27"/>
      <c r="B666" s="27"/>
      <c r="C666" s="27"/>
      <c r="D666" s="27"/>
      <c r="E666" s="27"/>
      <c r="F666" s="27"/>
      <c r="G666" s="27"/>
      <c r="H666" s="27"/>
      <c r="I666" s="27"/>
      <c r="J666" s="27"/>
      <c r="K666" s="27"/>
      <c r="L666" s="27"/>
    </row>
    <row r="667" spans="1:12" ht="15" thickBot="1" x14ac:dyDescent="0.35">
      <c r="A667" s="27"/>
      <c r="B667" s="27"/>
      <c r="C667" s="27"/>
      <c r="D667" s="27"/>
      <c r="E667" s="27"/>
      <c r="F667" s="27"/>
      <c r="G667" s="27"/>
      <c r="H667" s="27"/>
      <c r="I667" s="27"/>
      <c r="J667" s="27"/>
      <c r="K667" s="27"/>
      <c r="L667" s="27"/>
    </row>
    <row r="668" spans="1:12" ht="15" thickBot="1" x14ac:dyDescent="0.35">
      <c r="A668" s="27"/>
      <c r="B668" s="27"/>
      <c r="C668" s="27"/>
      <c r="D668" s="27"/>
      <c r="E668" s="27"/>
      <c r="F668" s="27"/>
      <c r="G668" s="27"/>
      <c r="H668" s="27"/>
      <c r="I668" s="27"/>
      <c r="J668" s="27"/>
      <c r="K668" s="27"/>
      <c r="L668" s="27"/>
    </row>
    <row r="669" spans="1:12" ht="15" thickBot="1" x14ac:dyDescent="0.35">
      <c r="A669" s="27"/>
      <c r="B669" s="27"/>
      <c r="C669" s="27"/>
      <c r="D669" s="27"/>
      <c r="E669" s="27"/>
      <c r="F669" s="27"/>
      <c r="G669" s="27"/>
      <c r="H669" s="27"/>
      <c r="I669" s="27"/>
      <c r="J669" s="27"/>
      <c r="K669" s="27"/>
      <c r="L669" s="27"/>
    </row>
    <row r="670" spans="1:12" ht="15" thickBot="1" x14ac:dyDescent="0.35">
      <c r="A670" s="27"/>
      <c r="B670" s="27"/>
      <c r="C670" s="27"/>
      <c r="D670" s="27"/>
      <c r="E670" s="27"/>
      <c r="F670" s="27"/>
      <c r="G670" s="27"/>
      <c r="H670" s="27"/>
      <c r="I670" s="27"/>
      <c r="J670" s="27"/>
      <c r="K670" s="27"/>
      <c r="L670" s="27"/>
    </row>
    <row r="671" spans="1:12" ht="15" thickBot="1" x14ac:dyDescent="0.35">
      <c r="A671" s="27"/>
      <c r="B671" s="27"/>
      <c r="C671" s="27"/>
      <c r="D671" s="27"/>
      <c r="E671" s="27"/>
      <c r="F671" s="27"/>
      <c r="G671" s="27"/>
      <c r="H671" s="27"/>
      <c r="I671" s="27"/>
      <c r="J671" s="27"/>
      <c r="K671" s="27"/>
      <c r="L671" s="27"/>
    </row>
    <row r="672" spans="1:12" ht="15" thickBot="1" x14ac:dyDescent="0.35">
      <c r="A672" s="27"/>
      <c r="B672" s="27"/>
      <c r="C672" s="27"/>
      <c r="D672" s="27"/>
      <c r="E672" s="27"/>
      <c r="F672" s="27"/>
      <c r="G672" s="27"/>
      <c r="H672" s="27"/>
      <c r="I672" s="27"/>
      <c r="J672" s="27"/>
      <c r="K672" s="27"/>
      <c r="L672" s="27"/>
    </row>
    <row r="673" spans="1:12" ht="15" thickBot="1" x14ac:dyDescent="0.35">
      <c r="A673" s="27"/>
      <c r="B673" s="27"/>
      <c r="C673" s="27"/>
      <c r="D673" s="27"/>
      <c r="E673" s="27"/>
      <c r="F673" s="27"/>
      <c r="G673" s="27"/>
      <c r="H673" s="27"/>
      <c r="I673" s="27"/>
      <c r="J673" s="27"/>
      <c r="K673" s="27"/>
      <c r="L673" s="27"/>
    </row>
    <row r="674" spans="1:12" ht="15" thickBot="1" x14ac:dyDescent="0.35">
      <c r="A674" s="27"/>
      <c r="B674" s="27"/>
      <c r="C674" s="27"/>
      <c r="D674" s="27"/>
      <c r="E674" s="27"/>
      <c r="F674" s="27"/>
      <c r="G674" s="27"/>
      <c r="H674" s="27"/>
      <c r="I674" s="27"/>
      <c r="J674" s="27"/>
      <c r="K674" s="27"/>
      <c r="L674" s="27"/>
    </row>
    <row r="675" spans="1:12" ht="15" thickBot="1" x14ac:dyDescent="0.35">
      <c r="A675" s="27"/>
      <c r="B675" s="27"/>
      <c r="C675" s="27"/>
      <c r="D675" s="27"/>
      <c r="E675" s="27"/>
      <c r="F675" s="27"/>
      <c r="G675" s="27"/>
      <c r="H675" s="27"/>
      <c r="I675" s="27"/>
      <c r="J675" s="27"/>
      <c r="K675" s="27"/>
      <c r="L675" s="27"/>
    </row>
    <row r="676" spans="1:12" ht="15" thickBot="1" x14ac:dyDescent="0.35">
      <c r="A676" s="27"/>
      <c r="B676" s="27"/>
      <c r="C676" s="27"/>
      <c r="D676" s="27"/>
      <c r="E676" s="27"/>
      <c r="F676" s="27"/>
      <c r="G676" s="27"/>
      <c r="H676" s="27"/>
      <c r="I676" s="27"/>
      <c r="J676" s="27"/>
      <c r="K676" s="27"/>
      <c r="L676" s="27"/>
    </row>
    <row r="677" spans="1:12" ht="15" thickBot="1" x14ac:dyDescent="0.35">
      <c r="A677" s="27"/>
      <c r="B677" s="27"/>
      <c r="C677" s="27"/>
      <c r="D677" s="27"/>
      <c r="E677" s="27"/>
      <c r="F677" s="27"/>
      <c r="G677" s="27"/>
      <c r="H677" s="27"/>
      <c r="I677" s="27"/>
      <c r="J677" s="27"/>
      <c r="K677" s="27"/>
      <c r="L677" s="27"/>
    </row>
    <row r="678" spans="1:12" ht="15" thickBot="1" x14ac:dyDescent="0.35">
      <c r="A678" s="27"/>
      <c r="B678" s="27"/>
      <c r="C678" s="27"/>
      <c r="D678" s="27"/>
      <c r="E678" s="27"/>
      <c r="F678" s="27"/>
      <c r="G678" s="27"/>
      <c r="H678" s="27"/>
      <c r="I678" s="27"/>
      <c r="J678" s="27"/>
      <c r="K678" s="27"/>
      <c r="L678" s="27"/>
    </row>
    <row r="679" spans="1:12" ht="15" thickBot="1" x14ac:dyDescent="0.35">
      <c r="A679" s="27"/>
      <c r="B679" s="27"/>
      <c r="C679" s="27"/>
      <c r="D679" s="27"/>
      <c r="E679" s="27"/>
      <c r="F679" s="27"/>
      <c r="G679" s="27"/>
      <c r="H679" s="27"/>
      <c r="I679" s="27"/>
      <c r="J679" s="27"/>
      <c r="K679" s="27"/>
      <c r="L679" s="27"/>
    </row>
    <row r="680" spans="1:12" ht="15" thickBot="1" x14ac:dyDescent="0.35">
      <c r="A680" s="27"/>
      <c r="B680" s="27"/>
      <c r="C680" s="27"/>
      <c r="D680" s="27"/>
      <c r="E680" s="27"/>
      <c r="F680" s="27"/>
      <c r="G680" s="27"/>
      <c r="H680" s="27"/>
      <c r="I680" s="27"/>
      <c r="J680" s="27"/>
      <c r="K680" s="27"/>
      <c r="L680" s="27"/>
    </row>
    <row r="681" spans="1:12" ht="15" thickBot="1" x14ac:dyDescent="0.35">
      <c r="A681" s="27"/>
      <c r="B681" s="27"/>
      <c r="C681" s="27"/>
      <c r="D681" s="27"/>
      <c r="E681" s="27"/>
      <c r="F681" s="27"/>
      <c r="G681" s="27"/>
      <c r="H681" s="27"/>
      <c r="I681" s="27"/>
      <c r="J681" s="27"/>
      <c r="K681" s="27"/>
      <c r="L681" s="27"/>
    </row>
    <row r="682" spans="1:12" ht="15" thickBot="1" x14ac:dyDescent="0.35">
      <c r="A682" s="27"/>
      <c r="B682" s="27"/>
      <c r="C682" s="27"/>
      <c r="D682" s="27"/>
      <c r="E682" s="27"/>
      <c r="F682" s="27"/>
      <c r="G682" s="27"/>
      <c r="H682" s="27"/>
      <c r="I682" s="27"/>
      <c r="J682" s="27"/>
      <c r="K682" s="27"/>
      <c r="L682" s="27"/>
    </row>
    <row r="683" spans="1:12" ht="15" thickBot="1" x14ac:dyDescent="0.35">
      <c r="A683" s="27"/>
      <c r="B683" s="27"/>
      <c r="C683" s="27"/>
      <c r="D683" s="27"/>
      <c r="E683" s="27"/>
      <c r="F683" s="27"/>
      <c r="G683" s="27"/>
      <c r="H683" s="27"/>
      <c r="I683" s="27"/>
      <c r="J683" s="27"/>
      <c r="K683" s="27"/>
      <c r="L683" s="27"/>
    </row>
    <row r="684" spans="1:12" ht="15" thickBot="1" x14ac:dyDescent="0.35">
      <c r="A684" s="27"/>
      <c r="B684" s="27"/>
      <c r="C684" s="27"/>
      <c r="D684" s="27"/>
      <c r="E684" s="27"/>
      <c r="F684" s="27"/>
      <c r="G684" s="27"/>
      <c r="H684" s="27"/>
      <c r="I684" s="27"/>
      <c r="J684" s="27"/>
      <c r="K684" s="27"/>
      <c r="L684" s="27"/>
    </row>
    <row r="685" spans="1:12" ht="15" thickBot="1" x14ac:dyDescent="0.35">
      <c r="A685" s="27"/>
      <c r="B685" s="27"/>
      <c r="C685" s="27"/>
      <c r="D685" s="27"/>
      <c r="E685" s="27"/>
      <c r="F685" s="27"/>
      <c r="G685" s="27"/>
      <c r="H685" s="27"/>
      <c r="I685" s="27"/>
      <c r="J685" s="27"/>
      <c r="K685" s="27"/>
      <c r="L685" s="27"/>
    </row>
    <row r="686" spans="1:12" ht="15" thickBot="1" x14ac:dyDescent="0.35">
      <c r="A686" s="27"/>
      <c r="B686" s="27"/>
      <c r="C686" s="27"/>
      <c r="D686" s="27"/>
      <c r="E686" s="27"/>
      <c r="F686" s="27"/>
      <c r="G686" s="27"/>
      <c r="H686" s="27"/>
      <c r="I686" s="27"/>
      <c r="J686" s="27"/>
      <c r="K686" s="27"/>
      <c r="L686" s="27"/>
    </row>
    <row r="687" spans="1:12" ht="15" thickBot="1" x14ac:dyDescent="0.35">
      <c r="A687" s="27"/>
      <c r="B687" s="27"/>
      <c r="C687" s="27"/>
      <c r="D687" s="27"/>
      <c r="E687" s="27"/>
      <c r="F687" s="27"/>
      <c r="G687" s="27"/>
      <c r="H687" s="27"/>
      <c r="I687" s="27"/>
      <c r="J687" s="27"/>
      <c r="K687" s="27"/>
      <c r="L687" s="27"/>
    </row>
    <row r="688" spans="1:12" ht="15" thickBot="1" x14ac:dyDescent="0.35">
      <c r="A688" s="27"/>
      <c r="B688" s="27"/>
      <c r="C688" s="27"/>
      <c r="D688" s="27"/>
      <c r="E688" s="27"/>
      <c r="F688" s="27"/>
      <c r="G688" s="27"/>
      <c r="H688" s="27"/>
      <c r="I688" s="27"/>
      <c r="J688" s="27"/>
      <c r="K688" s="27"/>
      <c r="L688" s="27"/>
    </row>
    <row r="689" spans="1:12" ht="15" thickBot="1" x14ac:dyDescent="0.35">
      <c r="A689" s="27"/>
      <c r="B689" s="27"/>
      <c r="C689" s="27"/>
      <c r="D689" s="27"/>
      <c r="E689" s="27"/>
      <c r="F689" s="27"/>
      <c r="G689" s="27"/>
      <c r="H689" s="27"/>
      <c r="I689" s="27"/>
      <c r="J689" s="27"/>
      <c r="K689" s="27"/>
      <c r="L689" s="27"/>
    </row>
    <row r="690" spans="1:12" ht="15" thickBot="1" x14ac:dyDescent="0.35">
      <c r="A690" s="27"/>
      <c r="B690" s="27"/>
      <c r="C690" s="27"/>
      <c r="D690" s="27"/>
      <c r="E690" s="27"/>
      <c r="F690" s="27"/>
      <c r="G690" s="27"/>
      <c r="H690" s="27"/>
      <c r="I690" s="27"/>
      <c r="J690" s="27"/>
      <c r="K690" s="27"/>
      <c r="L690" s="27"/>
    </row>
    <row r="691" spans="1:12" ht="15" thickBot="1" x14ac:dyDescent="0.35">
      <c r="A691" s="27"/>
      <c r="B691" s="27"/>
      <c r="C691" s="27"/>
      <c r="D691" s="27"/>
      <c r="E691" s="27"/>
      <c r="F691" s="27"/>
      <c r="G691" s="27"/>
      <c r="H691" s="27"/>
      <c r="I691" s="27"/>
      <c r="J691" s="27"/>
      <c r="K691" s="27"/>
      <c r="L691" s="27"/>
    </row>
    <row r="692" spans="1:12" ht="15" thickBot="1" x14ac:dyDescent="0.35">
      <c r="A692" s="27"/>
      <c r="B692" s="27"/>
      <c r="C692" s="27"/>
      <c r="D692" s="27"/>
      <c r="E692" s="27"/>
      <c r="F692" s="27"/>
      <c r="G692" s="27"/>
      <c r="H692" s="27"/>
      <c r="I692" s="27"/>
      <c r="J692" s="27"/>
      <c r="K692" s="27"/>
      <c r="L692" s="27"/>
    </row>
    <row r="693" spans="1:12" ht="15" thickBot="1" x14ac:dyDescent="0.35">
      <c r="A693" s="27"/>
      <c r="B693" s="27"/>
      <c r="C693" s="27"/>
      <c r="D693" s="27"/>
      <c r="E693" s="27"/>
      <c r="F693" s="27"/>
      <c r="G693" s="27"/>
      <c r="H693" s="27"/>
      <c r="I693" s="27"/>
      <c r="J693" s="27"/>
      <c r="K693" s="27"/>
      <c r="L693" s="27"/>
    </row>
    <row r="694" spans="1:12" ht="15" thickBot="1" x14ac:dyDescent="0.35">
      <c r="A694" s="27"/>
      <c r="B694" s="27"/>
      <c r="C694" s="27"/>
      <c r="D694" s="27"/>
      <c r="E694" s="27"/>
      <c r="F694" s="27"/>
      <c r="G694" s="27"/>
      <c r="H694" s="27"/>
      <c r="I694" s="27"/>
      <c r="J694" s="27"/>
      <c r="K694" s="27"/>
      <c r="L694" s="27"/>
    </row>
    <row r="695" spans="1:12" ht="15" thickBot="1" x14ac:dyDescent="0.35">
      <c r="A695" s="27"/>
      <c r="B695" s="27"/>
      <c r="C695" s="27"/>
      <c r="D695" s="27"/>
      <c r="E695" s="27"/>
      <c r="F695" s="27"/>
      <c r="G695" s="27"/>
      <c r="H695" s="27"/>
      <c r="I695" s="27"/>
      <c r="J695" s="27"/>
      <c r="K695" s="27"/>
      <c r="L695" s="27"/>
    </row>
    <row r="696" spans="1:12" ht="15" thickBot="1" x14ac:dyDescent="0.35">
      <c r="A696" s="27"/>
      <c r="B696" s="27"/>
      <c r="C696" s="27"/>
      <c r="D696" s="27"/>
      <c r="E696" s="27"/>
      <c r="F696" s="27"/>
      <c r="G696" s="27"/>
      <c r="H696" s="27"/>
      <c r="I696" s="27"/>
      <c r="J696" s="27"/>
      <c r="K696" s="27"/>
      <c r="L696" s="27"/>
    </row>
    <row r="697" spans="1:12" ht="15" thickBot="1" x14ac:dyDescent="0.35">
      <c r="A697" s="27"/>
      <c r="B697" s="27"/>
      <c r="C697" s="27"/>
      <c r="D697" s="27"/>
      <c r="E697" s="27"/>
      <c r="F697" s="27"/>
      <c r="G697" s="27"/>
      <c r="H697" s="27"/>
      <c r="I697" s="27"/>
      <c r="J697" s="27"/>
      <c r="K697" s="27"/>
      <c r="L697" s="27"/>
    </row>
    <row r="698" spans="1:12" ht="15" thickBot="1" x14ac:dyDescent="0.35">
      <c r="A698" s="27"/>
      <c r="B698" s="27"/>
      <c r="C698" s="27"/>
      <c r="D698" s="27"/>
      <c r="E698" s="27"/>
      <c r="F698" s="27"/>
      <c r="G698" s="27"/>
      <c r="H698" s="27"/>
      <c r="I698" s="27"/>
      <c r="J698" s="27"/>
      <c r="K698" s="27"/>
      <c r="L698" s="27"/>
    </row>
    <row r="699" spans="1:12" ht="15" thickBot="1" x14ac:dyDescent="0.35">
      <c r="A699" s="27"/>
      <c r="B699" s="27"/>
      <c r="C699" s="27"/>
      <c r="D699" s="27"/>
      <c r="E699" s="27"/>
      <c r="F699" s="27"/>
      <c r="G699" s="27"/>
      <c r="H699" s="27"/>
      <c r="I699" s="27"/>
      <c r="J699" s="27"/>
      <c r="K699" s="27"/>
      <c r="L699" s="27"/>
    </row>
    <row r="700" spans="1:12" ht="15" thickBot="1" x14ac:dyDescent="0.35">
      <c r="A700" s="27"/>
      <c r="B700" s="27"/>
      <c r="C700" s="27"/>
      <c r="D700" s="27"/>
      <c r="E700" s="27"/>
      <c r="F700" s="27"/>
      <c r="G700" s="27"/>
      <c r="H700" s="27"/>
      <c r="I700" s="27"/>
      <c r="J700" s="27"/>
      <c r="K700" s="27"/>
      <c r="L700" s="27"/>
    </row>
    <row r="701" spans="1:12" ht="15" thickBot="1" x14ac:dyDescent="0.35">
      <c r="A701" s="27"/>
      <c r="B701" s="27"/>
      <c r="C701" s="27"/>
      <c r="D701" s="27"/>
      <c r="E701" s="27"/>
      <c r="F701" s="27"/>
      <c r="G701" s="27"/>
      <c r="H701" s="27"/>
      <c r="I701" s="27"/>
      <c r="J701" s="27"/>
      <c r="K701" s="27"/>
      <c r="L701" s="27"/>
    </row>
    <row r="702" spans="1:12" ht="15" thickBot="1" x14ac:dyDescent="0.35">
      <c r="A702" s="27"/>
      <c r="B702" s="27"/>
      <c r="C702" s="27"/>
      <c r="D702" s="27"/>
      <c r="E702" s="27"/>
      <c r="F702" s="27"/>
      <c r="G702" s="27"/>
      <c r="H702" s="27"/>
      <c r="I702" s="27"/>
      <c r="J702" s="27"/>
      <c r="K702" s="27"/>
      <c r="L702" s="27"/>
    </row>
    <row r="703" spans="1:12" ht="15" thickBot="1" x14ac:dyDescent="0.35">
      <c r="A703" s="27"/>
      <c r="B703" s="27"/>
      <c r="C703" s="27"/>
      <c r="D703" s="27"/>
      <c r="E703" s="27"/>
      <c r="F703" s="27"/>
      <c r="G703" s="27"/>
      <c r="H703" s="27"/>
      <c r="I703" s="27"/>
      <c r="J703" s="27"/>
      <c r="K703" s="27"/>
      <c r="L703" s="27"/>
    </row>
    <row r="704" spans="1:12" ht="15" thickBot="1" x14ac:dyDescent="0.35">
      <c r="A704" s="27"/>
      <c r="B704" s="27"/>
      <c r="C704" s="27"/>
      <c r="D704" s="27"/>
      <c r="E704" s="27"/>
      <c r="F704" s="27"/>
      <c r="G704" s="27"/>
      <c r="H704" s="27"/>
      <c r="I704" s="27"/>
      <c r="J704" s="27"/>
      <c r="K704" s="27"/>
      <c r="L704" s="27"/>
    </row>
    <row r="705" spans="1:12" ht="15" thickBot="1" x14ac:dyDescent="0.35">
      <c r="A705" s="27"/>
      <c r="B705" s="27"/>
      <c r="C705" s="27"/>
      <c r="D705" s="27"/>
      <c r="E705" s="27"/>
      <c r="F705" s="27"/>
      <c r="G705" s="27"/>
      <c r="H705" s="27"/>
      <c r="I705" s="27"/>
      <c r="J705" s="27"/>
      <c r="K705" s="27"/>
      <c r="L705" s="27"/>
    </row>
    <row r="706" spans="1:12" ht="15" thickBot="1" x14ac:dyDescent="0.35">
      <c r="A706" s="27"/>
      <c r="B706" s="27"/>
      <c r="C706" s="27"/>
      <c r="D706" s="27"/>
      <c r="E706" s="27"/>
      <c r="F706" s="27"/>
      <c r="G706" s="27"/>
      <c r="H706" s="27"/>
      <c r="I706" s="27"/>
      <c r="J706" s="27"/>
      <c r="K706" s="27"/>
      <c r="L706" s="27"/>
    </row>
    <row r="707" spans="1:12" ht="15" thickBot="1" x14ac:dyDescent="0.35">
      <c r="A707" s="27"/>
      <c r="B707" s="27"/>
      <c r="C707" s="27"/>
      <c r="D707" s="27"/>
      <c r="E707" s="27"/>
      <c r="F707" s="27"/>
      <c r="G707" s="27"/>
      <c r="H707" s="27"/>
      <c r="I707" s="27"/>
      <c r="J707" s="27"/>
      <c r="K707" s="27"/>
      <c r="L707" s="27"/>
    </row>
    <row r="708" spans="1:12" ht="15" thickBot="1" x14ac:dyDescent="0.35">
      <c r="A708" s="27"/>
      <c r="B708" s="27"/>
      <c r="C708" s="27"/>
      <c r="D708" s="27"/>
      <c r="E708" s="27"/>
      <c r="F708" s="27"/>
      <c r="G708" s="27"/>
      <c r="H708" s="27"/>
      <c r="I708" s="27"/>
      <c r="J708" s="27"/>
      <c r="K708" s="27"/>
      <c r="L708" s="27"/>
    </row>
    <row r="709" spans="1:12" ht="15" thickBot="1" x14ac:dyDescent="0.35">
      <c r="A709" s="27"/>
      <c r="B709" s="27"/>
      <c r="C709" s="27"/>
      <c r="D709" s="27"/>
      <c r="E709" s="27"/>
      <c r="F709" s="27"/>
      <c r="G709" s="27"/>
      <c r="H709" s="27"/>
      <c r="I709" s="27"/>
      <c r="J709" s="27"/>
      <c r="K709" s="27"/>
      <c r="L709" s="27"/>
    </row>
    <row r="710" spans="1:12" ht="15" thickBot="1" x14ac:dyDescent="0.35">
      <c r="A710" s="27"/>
      <c r="B710" s="27"/>
      <c r="C710" s="27"/>
      <c r="D710" s="27"/>
      <c r="E710" s="27"/>
      <c r="F710" s="27"/>
      <c r="G710" s="27"/>
      <c r="H710" s="27"/>
      <c r="I710" s="27"/>
      <c r="J710" s="27"/>
      <c r="K710" s="27"/>
      <c r="L710" s="27"/>
    </row>
    <row r="711" spans="1:12" ht="15" thickBot="1" x14ac:dyDescent="0.35">
      <c r="A711" s="27"/>
      <c r="B711" s="27"/>
      <c r="C711" s="27"/>
      <c r="D711" s="27"/>
      <c r="E711" s="27"/>
      <c r="F711" s="27"/>
      <c r="G711" s="27"/>
      <c r="H711" s="27"/>
      <c r="I711" s="27"/>
      <c r="J711" s="27"/>
      <c r="K711" s="27"/>
      <c r="L711" s="27"/>
    </row>
    <row r="712" spans="1:12" ht="15" thickBot="1" x14ac:dyDescent="0.35">
      <c r="A712" s="27"/>
      <c r="B712" s="27"/>
      <c r="C712" s="27"/>
      <c r="D712" s="27"/>
      <c r="E712" s="27"/>
      <c r="F712" s="27"/>
      <c r="G712" s="27"/>
      <c r="H712" s="27"/>
      <c r="I712" s="27"/>
      <c r="J712" s="27"/>
      <c r="K712" s="27"/>
      <c r="L712" s="27"/>
    </row>
    <row r="713" spans="1:12" ht="15" thickBot="1" x14ac:dyDescent="0.35">
      <c r="A713" s="27"/>
      <c r="B713" s="27"/>
      <c r="C713" s="27"/>
      <c r="D713" s="27"/>
      <c r="E713" s="27"/>
      <c r="F713" s="27"/>
      <c r="G713" s="27"/>
      <c r="H713" s="27"/>
      <c r="I713" s="27"/>
      <c r="J713" s="27"/>
      <c r="K713" s="27"/>
      <c r="L713" s="27"/>
    </row>
    <row r="714" spans="1:12" ht="15" thickBot="1" x14ac:dyDescent="0.35">
      <c r="A714" s="27"/>
      <c r="B714" s="27"/>
      <c r="C714" s="27"/>
      <c r="D714" s="27"/>
      <c r="E714" s="27"/>
      <c r="F714" s="27"/>
      <c r="G714" s="27"/>
      <c r="H714" s="27"/>
      <c r="I714" s="27"/>
      <c r="J714" s="27"/>
      <c r="K714" s="27"/>
      <c r="L714" s="27"/>
    </row>
    <row r="715" spans="1:12" ht="15" thickBot="1" x14ac:dyDescent="0.35">
      <c r="A715" s="27"/>
      <c r="B715" s="27"/>
      <c r="C715" s="27"/>
      <c r="D715" s="27"/>
      <c r="E715" s="27"/>
      <c r="F715" s="27"/>
      <c r="G715" s="27"/>
      <c r="H715" s="27"/>
      <c r="I715" s="27"/>
      <c r="J715" s="27"/>
      <c r="K715" s="27"/>
      <c r="L715" s="27"/>
    </row>
    <row r="716" spans="1:12" ht="15" thickBot="1" x14ac:dyDescent="0.35">
      <c r="A716" s="27"/>
      <c r="B716" s="27"/>
      <c r="C716" s="27"/>
      <c r="D716" s="27"/>
      <c r="E716" s="27"/>
      <c r="F716" s="27"/>
      <c r="G716" s="27"/>
      <c r="H716" s="27"/>
      <c r="I716" s="27"/>
      <c r="J716" s="27"/>
      <c r="K716" s="27"/>
      <c r="L716" s="27"/>
    </row>
    <row r="717" spans="1:12" ht="15" thickBot="1" x14ac:dyDescent="0.35">
      <c r="A717" s="27"/>
      <c r="B717" s="27"/>
      <c r="C717" s="27"/>
      <c r="D717" s="27"/>
      <c r="E717" s="27"/>
      <c r="F717" s="27"/>
      <c r="G717" s="27"/>
      <c r="H717" s="27"/>
      <c r="I717" s="27"/>
      <c r="J717" s="27"/>
      <c r="K717" s="27"/>
      <c r="L717" s="27"/>
    </row>
    <row r="718" spans="1:12" ht="15" thickBot="1" x14ac:dyDescent="0.35">
      <c r="A718" s="27"/>
      <c r="B718" s="27"/>
      <c r="C718" s="27"/>
      <c r="D718" s="27"/>
      <c r="E718" s="27"/>
      <c r="F718" s="27"/>
      <c r="G718" s="27"/>
      <c r="H718" s="27"/>
      <c r="I718" s="27"/>
      <c r="J718" s="27"/>
      <c r="K718" s="27"/>
      <c r="L718" s="27"/>
    </row>
    <row r="719" spans="1:12" ht="15" thickBot="1" x14ac:dyDescent="0.35">
      <c r="A719" s="27"/>
      <c r="B719" s="27"/>
      <c r="C719" s="27"/>
      <c r="D719" s="27"/>
      <c r="E719" s="27"/>
      <c r="F719" s="27"/>
      <c r="G719" s="27"/>
      <c r="H719" s="27"/>
      <c r="I719" s="27"/>
      <c r="J719" s="27"/>
      <c r="K719" s="27"/>
      <c r="L719" s="27"/>
    </row>
    <row r="720" spans="1:12" ht="15" thickBot="1" x14ac:dyDescent="0.35">
      <c r="A720" s="27"/>
      <c r="B720" s="27"/>
      <c r="C720" s="27"/>
      <c r="D720" s="27"/>
      <c r="E720" s="27"/>
      <c r="F720" s="27"/>
      <c r="G720" s="27"/>
      <c r="H720" s="27"/>
      <c r="I720" s="27"/>
      <c r="J720" s="27"/>
      <c r="K720" s="27"/>
      <c r="L720" s="27"/>
    </row>
    <row r="721" spans="1:12" ht="15" thickBot="1" x14ac:dyDescent="0.35">
      <c r="A721" s="27"/>
      <c r="B721" s="27"/>
      <c r="C721" s="27"/>
      <c r="D721" s="27"/>
      <c r="E721" s="27"/>
      <c r="F721" s="27"/>
      <c r="G721" s="27"/>
      <c r="H721" s="27"/>
      <c r="I721" s="27"/>
      <c r="J721" s="27"/>
      <c r="K721" s="27"/>
      <c r="L721" s="27"/>
    </row>
    <row r="722" spans="1:12" ht="15" thickBot="1" x14ac:dyDescent="0.35">
      <c r="A722" s="27"/>
      <c r="B722" s="27"/>
      <c r="C722" s="27"/>
      <c r="D722" s="27"/>
      <c r="E722" s="27"/>
      <c r="F722" s="27"/>
      <c r="G722" s="27"/>
      <c r="H722" s="27"/>
      <c r="I722" s="27"/>
      <c r="J722" s="27"/>
      <c r="K722" s="27"/>
      <c r="L722" s="27"/>
    </row>
    <row r="723" spans="1:12" ht="15" thickBot="1" x14ac:dyDescent="0.35">
      <c r="A723" s="27"/>
      <c r="B723" s="27"/>
      <c r="C723" s="27"/>
      <c r="D723" s="27"/>
      <c r="E723" s="27"/>
      <c r="F723" s="27"/>
      <c r="G723" s="27"/>
      <c r="H723" s="27"/>
      <c r="I723" s="27"/>
      <c r="J723" s="27"/>
      <c r="K723" s="27"/>
      <c r="L723" s="27"/>
    </row>
    <row r="724" spans="1:12" ht="15" thickBot="1" x14ac:dyDescent="0.35">
      <c r="A724" s="27"/>
      <c r="B724" s="27"/>
      <c r="C724" s="27"/>
      <c r="D724" s="27"/>
      <c r="E724" s="27"/>
      <c r="F724" s="27"/>
      <c r="G724" s="27"/>
      <c r="H724" s="27"/>
      <c r="I724" s="27"/>
      <c r="J724" s="27"/>
      <c r="K724" s="27"/>
      <c r="L724" s="27"/>
    </row>
    <row r="725" spans="1:12" ht="15" thickBot="1" x14ac:dyDescent="0.35">
      <c r="A725" s="27"/>
      <c r="B725" s="27"/>
      <c r="C725" s="27"/>
      <c r="D725" s="27"/>
      <c r="E725" s="27"/>
      <c r="F725" s="27"/>
      <c r="G725" s="27"/>
      <c r="H725" s="27"/>
      <c r="I725" s="27"/>
      <c r="J725" s="27"/>
      <c r="K725" s="27"/>
      <c r="L725" s="27"/>
    </row>
    <row r="726" spans="1:12" ht="15" thickBot="1" x14ac:dyDescent="0.35">
      <c r="A726" s="27"/>
      <c r="B726" s="27"/>
      <c r="C726" s="27"/>
      <c r="D726" s="27"/>
      <c r="E726" s="27"/>
      <c r="F726" s="27"/>
      <c r="G726" s="27"/>
      <c r="H726" s="27"/>
      <c r="I726" s="27"/>
      <c r="J726" s="27"/>
      <c r="K726" s="27"/>
      <c r="L726" s="27"/>
    </row>
    <row r="727" spans="1:12" ht="15" thickBot="1" x14ac:dyDescent="0.35">
      <c r="A727" s="27"/>
      <c r="B727" s="27"/>
      <c r="C727" s="27"/>
      <c r="D727" s="27"/>
      <c r="E727" s="27"/>
      <c r="F727" s="27"/>
      <c r="G727" s="27"/>
      <c r="H727" s="27"/>
      <c r="I727" s="27"/>
      <c r="J727" s="27"/>
      <c r="K727" s="27"/>
      <c r="L727" s="27"/>
    </row>
    <row r="728" spans="1:12" ht="15" thickBot="1" x14ac:dyDescent="0.35">
      <c r="A728" s="27"/>
      <c r="B728" s="27"/>
      <c r="C728" s="27"/>
      <c r="D728" s="27"/>
      <c r="E728" s="27"/>
      <c r="F728" s="27"/>
      <c r="G728" s="27"/>
      <c r="H728" s="27"/>
      <c r="I728" s="27"/>
      <c r="J728" s="27"/>
      <c r="K728" s="27"/>
      <c r="L728" s="27"/>
    </row>
    <row r="729" spans="1:12" ht="15" thickBot="1" x14ac:dyDescent="0.35">
      <c r="A729" s="27"/>
      <c r="B729" s="27"/>
      <c r="C729" s="27"/>
      <c r="D729" s="27"/>
      <c r="E729" s="27"/>
      <c r="F729" s="27"/>
      <c r="G729" s="27"/>
      <c r="H729" s="27"/>
      <c r="I729" s="27"/>
      <c r="J729" s="27"/>
      <c r="K729" s="27"/>
      <c r="L729" s="27"/>
    </row>
    <row r="730" spans="1:12" ht="15" thickBot="1" x14ac:dyDescent="0.35">
      <c r="A730" s="27"/>
      <c r="B730" s="27"/>
      <c r="C730" s="27"/>
      <c r="D730" s="27"/>
      <c r="E730" s="27"/>
      <c r="F730" s="27"/>
      <c r="G730" s="27"/>
      <c r="H730" s="27"/>
      <c r="I730" s="27"/>
      <c r="J730" s="27"/>
      <c r="K730" s="27"/>
      <c r="L730" s="27"/>
    </row>
    <row r="731" spans="1:12" ht="15" thickBot="1" x14ac:dyDescent="0.35">
      <c r="A731" s="27"/>
      <c r="B731" s="27"/>
      <c r="C731" s="27"/>
      <c r="D731" s="27"/>
      <c r="E731" s="27"/>
      <c r="F731" s="27"/>
      <c r="G731" s="27"/>
      <c r="H731" s="27"/>
      <c r="I731" s="27"/>
      <c r="J731" s="27"/>
      <c r="K731" s="27"/>
      <c r="L731" s="27"/>
    </row>
    <row r="732" spans="1:12" ht="15" thickBot="1" x14ac:dyDescent="0.35">
      <c r="A732" s="27"/>
      <c r="B732" s="27"/>
      <c r="C732" s="27"/>
      <c r="D732" s="27"/>
      <c r="E732" s="27"/>
      <c r="F732" s="27"/>
      <c r="G732" s="27"/>
      <c r="H732" s="27"/>
      <c r="I732" s="27"/>
      <c r="J732" s="27"/>
      <c r="K732" s="27"/>
      <c r="L732" s="27"/>
    </row>
    <row r="733" spans="1:12" ht="15" thickBot="1" x14ac:dyDescent="0.35">
      <c r="A733" s="27"/>
      <c r="B733" s="27"/>
      <c r="C733" s="27"/>
      <c r="D733" s="27"/>
      <c r="E733" s="27"/>
      <c r="F733" s="27"/>
      <c r="G733" s="27"/>
      <c r="H733" s="27"/>
      <c r="I733" s="27"/>
      <c r="J733" s="27"/>
      <c r="K733" s="27"/>
      <c r="L733" s="27"/>
    </row>
    <row r="734" spans="1:12" ht="15" thickBot="1" x14ac:dyDescent="0.35">
      <c r="A734" s="27"/>
      <c r="B734" s="27"/>
      <c r="C734" s="27"/>
      <c r="D734" s="27"/>
      <c r="E734" s="27"/>
      <c r="F734" s="27"/>
      <c r="G734" s="27"/>
      <c r="H734" s="27"/>
      <c r="I734" s="27"/>
      <c r="J734" s="27"/>
      <c r="K734" s="27"/>
      <c r="L734" s="27"/>
    </row>
    <row r="735" spans="1:12" ht="15" thickBot="1" x14ac:dyDescent="0.35">
      <c r="A735" s="27"/>
      <c r="B735" s="27"/>
      <c r="C735" s="27"/>
      <c r="D735" s="27"/>
      <c r="E735" s="27"/>
      <c r="F735" s="27"/>
      <c r="G735" s="27"/>
      <c r="H735" s="27"/>
      <c r="I735" s="27"/>
      <c r="J735" s="27"/>
      <c r="K735" s="27"/>
      <c r="L735" s="27"/>
    </row>
    <row r="736" spans="1:12" ht="15" thickBot="1" x14ac:dyDescent="0.35">
      <c r="A736" s="27"/>
      <c r="B736" s="27"/>
      <c r="C736" s="27"/>
      <c r="D736" s="27"/>
      <c r="E736" s="27"/>
      <c r="F736" s="27"/>
      <c r="G736" s="27"/>
      <c r="H736" s="27"/>
      <c r="I736" s="27"/>
      <c r="J736" s="27"/>
      <c r="K736" s="27"/>
      <c r="L736" s="27"/>
    </row>
    <row r="737" spans="1:12" ht="15" thickBot="1" x14ac:dyDescent="0.35">
      <c r="A737" s="27"/>
      <c r="B737" s="27"/>
      <c r="C737" s="27"/>
      <c r="D737" s="27"/>
      <c r="E737" s="27"/>
      <c r="F737" s="27"/>
      <c r="G737" s="27"/>
      <c r="H737" s="27"/>
      <c r="I737" s="27"/>
      <c r="J737" s="27"/>
      <c r="K737" s="27"/>
      <c r="L737" s="27"/>
    </row>
    <row r="738" spans="1:12" ht="15" thickBot="1" x14ac:dyDescent="0.35">
      <c r="A738" s="27"/>
      <c r="B738" s="27"/>
      <c r="C738" s="27"/>
      <c r="D738" s="27"/>
      <c r="E738" s="27"/>
      <c r="F738" s="27"/>
      <c r="G738" s="27"/>
      <c r="H738" s="27"/>
      <c r="I738" s="27"/>
      <c r="J738" s="27"/>
      <c r="K738" s="27"/>
      <c r="L738" s="27"/>
    </row>
    <row r="739" spans="1:12" ht="15" thickBot="1" x14ac:dyDescent="0.35">
      <c r="A739" s="27"/>
      <c r="B739" s="27"/>
      <c r="C739" s="27"/>
      <c r="D739" s="27"/>
      <c r="E739" s="27"/>
      <c r="F739" s="27"/>
      <c r="G739" s="27"/>
      <c r="H739" s="27"/>
      <c r="I739" s="27"/>
      <c r="J739" s="27"/>
      <c r="K739" s="27"/>
      <c r="L739" s="27"/>
    </row>
    <row r="740" spans="1:12" ht="15" thickBot="1" x14ac:dyDescent="0.35">
      <c r="A740" s="27"/>
      <c r="B740" s="27"/>
      <c r="C740" s="27"/>
      <c r="D740" s="27"/>
      <c r="E740" s="27"/>
      <c r="F740" s="27"/>
      <c r="G740" s="27"/>
      <c r="H740" s="27"/>
      <c r="I740" s="27"/>
      <c r="J740" s="27"/>
      <c r="K740" s="27"/>
      <c r="L740" s="27"/>
    </row>
    <row r="741" spans="1:12" ht="15" thickBot="1" x14ac:dyDescent="0.35">
      <c r="A741" s="27"/>
      <c r="B741" s="27"/>
      <c r="C741" s="27"/>
      <c r="D741" s="27"/>
      <c r="E741" s="27"/>
      <c r="F741" s="27"/>
      <c r="G741" s="27"/>
      <c r="H741" s="27"/>
      <c r="I741" s="27"/>
      <c r="J741" s="27"/>
      <c r="K741" s="27"/>
      <c r="L741" s="27"/>
    </row>
    <row r="742" spans="1:12" ht="15" thickBot="1" x14ac:dyDescent="0.35">
      <c r="A742" s="27"/>
      <c r="B742" s="27"/>
      <c r="C742" s="27"/>
      <c r="D742" s="27"/>
      <c r="E742" s="27"/>
      <c r="F742" s="27"/>
      <c r="G742" s="27"/>
      <c r="H742" s="27"/>
      <c r="I742" s="27"/>
      <c r="J742" s="27"/>
      <c r="K742" s="27"/>
      <c r="L742" s="27"/>
    </row>
    <row r="743" spans="1:12" ht="15" thickBot="1" x14ac:dyDescent="0.35">
      <c r="A743" s="27"/>
      <c r="B743" s="27"/>
      <c r="C743" s="27"/>
      <c r="D743" s="27"/>
      <c r="E743" s="27"/>
      <c r="F743" s="27"/>
      <c r="G743" s="27"/>
      <c r="H743" s="27"/>
      <c r="I743" s="27"/>
      <c r="J743" s="27"/>
      <c r="K743" s="27"/>
      <c r="L743" s="27"/>
    </row>
    <row r="744" spans="1:12" ht="15" thickBot="1" x14ac:dyDescent="0.35">
      <c r="A744" s="27"/>
      <c r="B744" s="27"/>
      <c r="C744" s="27"/>
      <c r="D744" s="27"/>
      <c r="E744" s="27"/>
      <c r="F744" s="27"/>
      <c r="G744" s="27"/>
      <c r="H744" s="27"/>
      <c r="I744" s="27"/>
      <c r="J744" s="27"/>
      <c r="K744" s="27"/>
      <c r="L744" s="27"/>
    </row>
    <row r="745" spans="1:12" ht="15" thickBot="1" x14ac:dyDescent="0.35">
      <c r="A745" s="27"/>
      <c r="B745" s="27"/>
      <c r="C745" s="27"/>
      <c r="D745" s="27"/>
      <c r="E745" s="27"/>
      <c r="F745" s="27"/>
      <c r="G745" s="27"/>
      <c r="H745" s="27"/>
      <c r="I745" s="27"/>
      <c r="J745" s="27"/>
      <c r="K745" s="27"/>
      <c r="L745" s="27"/>
    </row>
    <row r="746" spans="1:12" ht="15" thickBot="1" x14ac:dyDescent="0.35">
      <c r="A746" s="27"/>
      <c r="B746" s="27"/>
      <c r="C746" s="27"/>
      <c r="D746" s="27"/>
      <c r="E746" s="27"/>
      <c r="F746" s="27"/>
      <c r="G746" s="27"/>
      <c r="H746" s="27"/>
      <c r="I746" s="27"/>
      <c r="J746" s="27"/>
      <c r="K746" s="27"/>
      <c r="L746" s="27"/>
    </row>
    <row r="747" spans="1:12" ht="15" thickBot="1" x14ac:dyDescent="0.35">
      <c r="A747" s="27"/>
      <c r="B747" s="27"/>
      <c r="C747" s="27"/>
      <c r="D747" s="27"/>
      <c r="E747" s="27"/>
      <c r="F747" s="27"/>
      <c r="G747" s="27"/>
      <c r="H747" s="27"/>
      <c r="I747" s="27"/>
      <c r="J747" s="27"/>
      <c r="K747" s="27"/>
      <c r="L747" s="27"/>
    </row>
    <row r="748" spans="1:12" ht="15" thickBot="1" x14ac:dyDescent="0.35">
      <c r="A748" s="27"/>
      <c r="B748" s="27"/>
      <c r="C748" s="27"/>
      <c r="D748" s="27"/>
      <c r="E748" s="27"/>
      <c r="F748" s="27"/>
      <c r="G748" s="27"/>
      <c r="H748" s="27"/>
      <c r="I748" s="27"/>
      <c r="J748" s="27"/>
      <c r="K748" s="27"/>
      <c r="L748" s="27"/>
    </row>
    <row r="749" spans="1:12" ht="15" thickBot="1" x14ac:dyDescent="0.35">
      <c r="A749" s="27"/>
      <c r="B749" s="27"/>
      <c r="C749" s="27"/>
      <c r="D749" s="27"/>
      <c r="E749" s="27"/>
      <c r="F749" s="27"/>
      <c r="G749" s="27"/>
      <c r="H749" s="27"/>
      <c r="I749" s="27"/>
      <c r="J749" s="27"/>
      <c r="K749" s="27"/>
      <c r="L749" s="27"/>
    </row>
    <row r="750" spans="1:12" ht="15" thickBot="1" x14ac:dyDescent="0.35">
      <c r="A750" s="27"/>
      <c r="B750" s="27"/>
      <c r="C750" s="27"/>
      <c r="D750" s="27"/>
      <c r="E750" s="27"/>
      <c r="F750" s="27"/>
      <c r="G750" s="27"/>
      <c r="H750" s="27"/>
      <c r="I750" s="27"/>
      <c r="J750" s="27"/>
      <c r="K750" s="27"/>
      <c r="L750" s="27"/>
    </row>
    <row r="751" spans="1:12" ht="15" thickBot="1" x14ac:dyDescent="0.35">
      <c r="A751" s="27"/>
      <c r="B751" s="27"/>
      <c r="C751" s="27"/>
      <c r="D751" s="27"/>
      <c r="E751" s="27"/>
      <c r="F751" s="27"/>
      <c r="G751" s="27"/>
      <c r="H751" s="27"/>
      <c r="I751" s="27"/>
      <c r="J751" s="27"/>
      <c r="K751" s="27"/>
      <c r="L751" s="27"/>
    </row>
    <row r="752" spans="1:12" ht="15" thickBot="1" x14ac:dyDescent="0.35">
      <c r="A752" s="27"/>
      <c r="B752" s="27"/>
      <c r="C752" s="27"/>
      <c r="D752" s="27"/>
      <c r="E752" s="27"/>
      <c r="F752" s="27"/>
      <c r="G752" s="27"/>
      <c r="H752" s="27"/>
      <c r="I752" s="27"/>
      <c r="J752" s="27"/>
      <c r="K752" s="27"/>
      <c r="L752" s="27"/>
    </row>
    <row r="753" spans="1:12" ht="15" thickBot="1" x14ac:dyDescent="0.35">
      <c r="A753" s="27"/>
      <c r="B753" s="27"/>
      <c r="C753" s="27"/>
      <c r="D753" s="27"/>
      <c r="E753" s="27"/>
      <c r="F753" s="27"/>
      <c r="G753" s="27"/>
      <c r="H753" s="27"/>
      <c r="I753" s="27"/>
      <c r="J753" s="27"/>
      <c r="K753" s="27"/>
      <c r="L753" s="27"/>
    </row>
    <row r="754" spans="1:12" ht="15" thickBot="1" x14ac:dyDescent="0.35">
      <c r="A754" s="27"/>
      <c r="B754" s="27"/>
      <c r="C754" s="27"/>
      <c r="D754" s="27"/>
      <c r="E754" s="27"/>
      <c r="F754" s="27"/>
      <c r="G754" s="27"/>
      <c r="H754" s="27"/>
      <c r="I754" s="27"/>
      <c r="J754" s="27"/>
      <c r="K754" s="27"/>
      <c r="L754" s="27"/>
    </row>
    <row r="755" spans="1:12" ht="15" thickBot="1" x14ac:dyDescent="0.35">
      <c r="A755" s="27"/>
      <c r="B755" s="27"/>
      <c r="C755" s="27"/>
      <c r="D755" s="27"/>
      <c r="E755" s="27"/>
      <c r="F755" s="27"/>
      <c r="G755" s="27"/>
      <c r="H755" s="27"/>
      <c r="I755" s="27"/>
      <c r="J755" s="27"/>
      <c r="K755" s="27"/>
      <c r="L755" s="27"/>
    </row>
    <row r="756" spans="1:12" ht="15" thickBot="1" x14ac:dyDescent="0.35">
      <c r="A756" s="27"/>
      <c r="B756" s="27"/>
      <c r="C756" s="27"/>
      <c r="D756" s="27"/>
      <c r="E756" s="27"/>
      <c r="F756" s="27"/>
      <c r="G756" s="27"/>
      <c r="H756" s="27"/>
      <c r="I756" s="27"/>
      <c r="J756" s="27"/>
      <c r="K756" s="27"/>
      <c r="L756" s="27"/>
    </row>
    <row r="757" spans="1:12" ht="15" thickBot="1" x14ac:dyDescent="0.35">
      <c r="A757" s="27"/>
      <c r="B757" s="27"/>
      <c r="C757" s="27"/>
      <c r="D757" s="27"/>
      <c r="E757" s="27"/>
      <c r="F757" s="27"/>
      <c r="G757" s="27"/>
      <c r="H757" s="27"/>
      <c r="I757" s="27"/>
      <c r="J757" s="27"/>
      <c r="K757" s="27"/>
      <c r="L757" s="27"/>
    </row>
    <row r="758" spans="1:12" ht="15" thickBot="1" x14ac:dyDescent="0.35">
      <c r="A758" s="27"/>
      <c r="B758" s="27"/>
      <c r="C758" s="27"/>
      <c r="D758" s="27"/>
      <c r="E758" s="27"/>
      <c r="F758" s="27"/>
      <c r="G758" s="27"/>
      <c r="H758" s="27"/>
      <c r="I758" s="27"/>
      <c r="J758" s="27"/>
      <c r="K758" s="27"/>
      <c r="L758" s="27"/>
    </row>
    <row r="759" spans="1:12" ht="15" thickBot="1" x14ac:dyDescent="0.35">
      <c r="A759" s="27"/>
      <c r="B759" s="27"/>
      <c r="C759" s="27"/>
      <c r="D759" s="27"/>
      <c r="E759" s="27"/>
      <c r="F759" s="27"/>
      <c r="G759" s="27"/>
      <c r="H759" s="27"/>
      <c r="I759" s="27"/>
      <c r="J759" s="27"/>
      <c r="K759" s="27"/>
      <c r="L759" s="27"/>
    </row>
    <row r="760" spans="1:12" ht="15" thickBot="1" x14ac:dyDescent="0.35">
      <c r="A760" s="27"/>
      <c r="B760" s="27"/>
      <c r="C760" s="27"/>
      <c r="D760" s="27"/>
      <c r="E760" s="27"/>
      <c r="F760" s="27"/>
      <c r="G760" s="27"/>
      <c r="H760" s="27"/>
      <c r="I760" s="27"/>
      <c r="J760" s="27"/>
      <c r="K760" s="27"/>
      <c r="L760" s="27"/>
    </row>
    <row r="761" spans="1:12" ht="15" thickBot="1" x14ac:dyDescent="0.35">
      <c r="A761" s="27"/>
      <c r="B761" s="27"/>
      <c r="C761" s="27"/>
      <c r="D761" s="27"/>
      <c r="E761" s="27"/>
      <c r="F761" s="27"/>
      <c r="G761" s="27"/>
      <c r="H761" s="27"/>
      <c r="I761" s="27"/>
      <c r="J761" s="27"/>
      <c r="K761" s="27"/>
      <c r="L761" s="27"/>
    </row>
    <row r="762" spans="1:12" ht="15" thickBot="1" x14ac:dyDescent="0.35">
      <c r="A762" s="27"/>
      <c r="B762" s="27"/>
      <c r="C762" s="27"/>
      <c r="D762" s="27"/>
      <c r="E762" s="27"/>
      <c r="F762" s="27"/>
      <c r="G762" s="27"/>
      <c r="H762" s="27"/>
      <c r="I762" s="27"/>
      <c r="J762" s="27"/>
      <c r="K762" s="27"/>
      <c r="L762" s="27"/>
    </row>
    <row r="763" spans="1:12" ht="15" thickBot="1" x14ac:dyDescent="0.35">
      <c r="A763" s="27"/>
      <c r="B763" s="27"/>
      <c r="C763" s="27"/>
      <c r="D763" s="27"/>
      <c r="E763" s="27"/>
      <c r="F763" s="27"/>
      <c r="G763" s="27"/>
      <c r="H763" s="27"/>
      <c r="I763" s="27"/>
      <c r="J763" s="27"/>
      <c r="K763" s="27"/>
      <c r="L763" s="27"/>
    </row>
    <row r="764" spans="1:12" ht="15" thickBot="1" x14ac:dyDescent="0.35">
      <c r="A764" s="27"/>
      <c r="B764" s="27"/>
      <c r="C764" s="27"/>
      <c r="D764" s="27"/>
      <c r="E764" s="27"/>
      <c r="F764" s="27"/>
      <c r="G764" s="27"/>
      <c r="H764" s="27"/>
      <c r="I764" s="27"/>
      <c r="J764" s="27"/>
      <c r="K764" s="27"/>
      <c r="L764" s="27"/>
    </row>
    <row r="765" spans="1:12" ht="15" thickBot="1" x14ac:dyDescent="0.35">
      <c r="A765" s="27"/>
      <c r="B765" s="27"/>
      <c r="C765" s="27"/>
      <c r="D765" s="27"/>
      <c r="E765" s="27"/>
      <c r="F765" s="27"/>
      <c r="G765" s="27"/>
      <c r="H765" s="27"/>
      <c r="I765" s="27"/>
      <c r="J765" s="27"/>
      <c r="K765" s="27"/>
      <c r="L765" s="27"/>
    </row>
    <row r="766" spans="1:12" ht="15" thickBot="1" x14ac:dyDescent="0.35">
      <c r="A766" s="27"/>
      <c r="B766" s="27"/>
      <c r="C766" s="27"/>
      <c r="D766" s="27"/>
      <c r="E766" s="27"/>
      <c r="F766" s="27"/>
      <c r="G766" s="27"/>
      <c r="H766" s="27"/>
      <c r="I766" s="27"/>
      <c r="J766" s="27"/>
      <c r="K766" s="27"/>
      <c r="L766" s="27"/>
    </row>
    <row r="767" spans="1:12" ht="15" thickBot="1" x14ac:dyDescent="0.35">
      <c r="A767" s="27"/>
      <c r="B767" s="27"/>
      <c r="C767" s="27"/>
      <c r="D767" s="27"/>
      <c r="E767" s="27"/>
      <c r="F767" s="27"/>
      <c r="G767" s="27"/>
      <c r="H767" s="27"/>
      <c r="I767" s="27"/>
      <c r="J767" s="27"/>
      <c r="K767" s="27"/>
      <c r="L767" s="27"/>
    </row>
    <row r="768" spans="1:12" ht="15" thickBot="1" x14ac:dyDescent="0.35">
      <c r="A768" s="27"/>
      <c r="B768" s="27"/>
      <c r="C768" s="27"/>
      <c r="D768" s="27"/>
      <c r="E768" s="27"/>
      <c r="F768" s="27"/>
      <c r="G768" s="27"/>
      <c r="H768" s="27"/>
      <c r="I768" s="27"/>
      <c r="J768" s="27"/>
      <c r="K768" s="27"/>
      <c r="L768" s="27"/>
    </row>
    <row r="769" spans="1:12" ht="15" thickBot="1" x14ac:dyDescent="0.35">
      <c r="A769" s="27"/>
      <c r="B769" s="27"/>
      <c r="C769" s="27"/>
      <c r="D769" s="27"/>
      <c r="E769" s="27"/>
      <c r="F769" s="27"/>
      <c r="G769" s="27"/>
      <c r="H769" s="27"/>
      <c r="I769" s="27"/>
      <c r="J769" s="27"/>
      <c r="K769" s="27"/>
      <c r="L769" s="27"/>
    </row>
    <row r="770" spans="1:12" ht="15" thickBot="1" x14ac:dyDescent="0.35">
      <c r="A770" s="27"/>
      <c r="B770" s="27"/>
      <c r="C770" s="27"/>
      <c r="D770" s="27"/>
      <c r="E770" s="27"/>
      <c r="F770" s="27"/>
      <c r="G770" s="27"/>
      <c r="H770" s="27"/>
      <c r="I770" s="27"/>
      <c r="J770" s="27"/>
      <c r="K770" s="27"/>
      <c r="L770" s="27"/>
    </row>
    <row r="771" spans="1:12" ht="15" thickBot="1" x14ac:dyDescent="0.35">
      <c r="A771" s="27"/>
      <c r="B771" s="27"/>
      <c r="C771" s="27"/>
      <c r="D771" s="27"/>
      <c r="E771" s="27"/>
      <c r="F771" s="27"/>
      <c r="G771" s="27"/>
      <c r="H771" s="27"/>
      <c r="I771" s="27"/>
      <c r="J771" s="27"/>
      <c r="K771" s="27"/>
      <c r="L771" s="27"/>
    </row>
    <row r="772" spans="1:12" ht="15" thickBot="1" x14ac:dyDescent="0.35">
      <c r="A772" s="27"/>
      <c r="B772" s="27"/>
      <c r="C772" s="27"/>
      <c r="D772" s="27"/>
      <c r="E772" s="27"/>
      <c r="F772" s="27"/>
      <c r="G772" s="27"/>
      <c r="H772" s="27"/>
      <c r="I772" s="27"/>
      <c r="J772" s="27"/>
      <c r="K772" s="27"/>
      <c r="L772" s="27"/>
    </row>
    <row r="773" spans="1:12" ht="15" thickBot="1" x14ac:dyDescent="0.35">
      <c r="A773" s="27"/>
      <c r="B773" s="27"/>
      <c r="C773" s="27"/>
      <c r="D773" s="27"/>
      <c r="E773" s="27"/>
      <c r="F773" s="27"/>
      <c r="G773" s="27"/>
      <c r="H773" s="27"/>
      <c r="I773" s="27"/>
      <c r="J773" s="27"/>
      <c r="K773" s="27"/>
      <c r="L773" s="27"/>
    </row>
    <row r="774" spans="1:12" ht="15" thickBot="1" x14ac:dyDescent="0.35">
      <c r="A774" s="27"/>
      <c r="B774" s="27"/>
      <c r="C774" s="27"/>
      <c r="D774" s="27"/>
      <c r="E774" s="27"/>
      <c r="F774" s="27"/>
      <c r="G774" s="27"/>
      <c r="H774" s="27"/>
      <c r="I774" s="27"/>
      <c r="J774" s="27"/>
      <c r="K774" s="27"/>
      <c r="L774" s="27"/>
    </row>
    <row r="775" spans="1:12" ht="15" thickBot="1" x14ac:dyDescent="0.35">
      <c r="A775" s="27"/>
      <c r="B775" s="27"/>
      <c r="C775" s="27"/>
      <c r="D775" s="27"/>
      <c r="E775" s="27"/>
      <c r="F775" s="27"/>
      <c r="G775" s="27"/>
      <c r="H775" s="27"/>
      <c r="I775" s="27"/>
      <c r="J775" s="27"/>
      <c r="K775" s="27"/>
      <c r="L775" s="27"/>
    </row>
    <row r="776" spans="1:12" ht="15" thickBot="1" x14ac:dyDescent="0.35">
      <c r="A776" s="27"/>
      <c r="B776" s="27"/>
      <c r="C776" s="27"/>
      <c r="D776" s="27"/>
      <c r="E776" s="27"/>
      <c r="F776" s="27"/>
      <c r="G776" s="27"/>
      <c r="H776" s="27"/>
      <c r="I776" s="27"/>
      <c r="J776" s="27"/>
      <c r="K776" s="27"/>
      <c r="L776" s="27"/>
    </row>
    <row r="777" spans="1:12" ht="15" thickBot="1" x14ac:dyDescent="0.35">
      <c r="A777" s="27"/>
      <c r="B777" s="27"/>
      <c r="C777" s="27"/>
      <c r="D777" s="27"/>
      <c r="E777" s="27"/>
      <c r="F777" s="27"/>
      <c r="G777" s="27"/>
      <c r="H777" s="27"/>
      <c r="I777" s="27"/>
      <c r="J777" s="27"/>
      <c r="K777" s="27"/>
      <c r="L777" s="27"/>
    </row>
    <row r="778" spans="1:12" ht="15" thickBot="1" x14ac:dyDescent="0.35">
      <c r="A778" s="27"/>
      <c r="B778" s="27"/>
      <c r="C778" s="27"/>
      <c r="D778" s="27"/>
      <c r="E778" s="27"/>
      <c r="F778" s="27"/>
      <c r="G778" s="27"/>
      <c r="H778" s="27"/>
      <c r="I778" s="27"/>
      <c r="J778" s="27"/>
      <c r="K778" s="27"/>
      <c r="L778" s="27"/>
    </row>
    <row r="779" spans="1:12" ht="15" thickBot="1" x14ac:dyDescent="0.35">
      <c r="A779" s="27"/>
      <c r="B779" s="27"/>
      <c r="C779" s="27"/>
      <c r="D779" s="27"/>
      <c r="E779" s="27"/>
      <c r="F779" s="27"/>
      <c r="G779" s="27"/>
      <c r="H779" s="27"/>
      <c r="I779" s="27"/>
      <c r="J779" s="27"/>
      <c r="K779" s="27"/>
      <c r="L779" s="27"/>
    </row>
    <row r="780" spans="1:12" ht="15" thickBot="1" x14ac:dyDescent="0.35">
      <c r="A780" s="27"/>
      <c r="B780" s="27"/>
      <c r="C780" s="27"/>
      <c r="D780" s="27"/>
      <c r="E780" s="27"/>
      <c r="F780" s="27"/>
      <c r="G780" s="27"/>
      <c r="H780" s="27"/>
      <c r="I780" s="27"/>
      <c r="J780" s="27"/>
      <c r="K780" s="27"/>
      <c r="L780" s="27"/>
    </row>
    <row r="781" spans="1:12" ht="15" thickBot="1" x14ac:dyDescent="0.35">
      <c r="A781" s="27"/>
      <c r="B781" s="27"/>
      <c r="C781" s="27"/>
      <c r="D781" s="27"/>
      <c r="E781" s="27"/>
      <c r="F781" s="27"/>
      <c r="G781" s="27"/>
      <c r="H781" s="27"/>
      <c r="I781" s="27"/>
      <c r="J781" s="27"/>
      <c r="K781" s="27"/>
      <c r="L781" s="27"/>
    </row>
    <row r="782" spans="1:12" ht="15" thickBot="1" x14ac:dyDescent="0.35">
      <c r="A782" s="27"/>
      <c r="B782" s="27"/>
      <c r="C782" s="27"/>
      <c r="D782" s="27"/>
      <c r="E782" s="27"/>
      <c r="F782" s="27"/>
      <c r="G782" s="27"/>
      <c r="H782" s="27"/>
      <c r="I782" s="27"/>
      <c r="J782" s="27"/>
      <c r="K782" s="27"/>
      <c r="L782" s="27"/>
    </row>
    <row r="783" spans="1:12" ht="15" thickBot="1" x14ac:dyDescent="0.35">
      <c r="A783" s="27"/>
      <c r="B783" s="27"/>
      <c r="C783" s="27"/>
      <c r="D783" s="27"/>
      <c r="E783" s="27"/>
      <c r="F783" s="27"/>
      <c r="G783" s="27"/>
      <c r="H783" s="27"/>
      <c r="I783" s="27"/>
      <c r="J783" s="27"/>
      <c r="K783" s="27"/>
      <c r="L783" s="27"/>
    </row>
    <row r="784" spans="1:12" ht="15" thickBot="1" x14ac:dyDescent="0.35">
      <c r="A784" s="27"/>
      <c r="B784" s="27"/>
      <c r="C784" s="27"/>
      <c r="D784" s="27"/>
      <c r="E784" s="27"/>
      <c r="F784" s="27"/>
      <c r="G784" s="27"/>
      <c r="H784" s="27"/>
      <c r="I784" s="27"/>
      <c r="J784" s="27"/>
      <c r="K784" s="27"/>
      <c r="L784" s="27"/>
    </row>
    <row r="785" spans="1:12" ht="15" thickBot="1" x14ac:dyDescent="0.35">
      <c r="A785" s="27"/>
      <c r="B785" s="27"/>
      <c r="C785" s="27"/>
      <c r="D785" s="27"/>
      <c r="E785" s="27"/>
      <c r="F785" s="27"/>
      <c r="G785" s="27"/>
      <c r="H785" s="27"/>
      <c r="I785" s="27"/>
      <c r="J785" s="27"/>
      <c r="K785" s="27"/>
      <c r="L785" s="27"/>
    </row>
    <row r="786" spans="1:12" ht="15" thickBot="1" x14ac:dyDescent="0.35">
      <c r="A786" s="27"/>
      <c r="B786" s="27"/>
      <c r="C786" s="27"/>
      <c r="D786" s="27"/>
      <c r="E786" s="27"/>
      <c r="F786" s="27"/>
      <c r="G786" s="27"/>
      <c r="H786" s="27"/>
      <c r="I786" s="27"/>
      <c r="J786" s="27"/>
      <c r="K786" s="27"/>
      <c r="L786" s="27"/>
    </row>
    <row r="787" spans="1:12" ht="15" thickBot="1" x14ac:dyDescent="0.35">
      <c r="A787" s="27"/>
      <c r="B787" s="27"/>
      <c r="C787" s="27"/>
      <c r="D787" s="27"/>
      <c r="E787" s="27"/>
      <c r="F787" s="27"/>
      <c r="G787" s="27"/>
      <c r="H787" s="27"/>
      <c r="I787" s="27"/>
      <c r="J787" s="27"/>
      <c r="K787" s="27"/>
      <c r="L787" s="27"/>
    </row>
    <row r="788" spans="1:12" ht="15" thickBot="1" x14ac:dyDescent="0.35">
      <c r="A788" s="27"/>
      <c r="B788" s="27"/>
      <c r="C788" s="27"/>
      <c r="D788" s="27"/>
      <c r="E788" s="27"/>
      <c r="F788" s="27"/>
      <c r="G788" s="27"/>
      <c r="H788" s="27"/>
      <c r="I788" s="27"/>
      <c r="J788" s="27"/>
      <c r="K788" s="27"/>
      <c r="L788" s="27"/>
    </row>
    <row r="789" spans="1:12" ht="15" thickBot="1" x14ac:dyDescent="0.35">
      <c r="A789" s="27"/>
      <c r="B789" s="27"/>
      <c r="C789" s="27"/>
      <c r="D789" s="27"/>
      <c r="E789" s="27"/>
      <c r="F789" s="27"/>
      <c r="G789" s="27"/>
      <c r="H789" s="27"/>
      <c r="I789" s="27"/>
      <c r="J789" s="27"/>
      <c r="K789" s="27"/>
      <c r="L789" s="27"/>
    </row>
    <row r="790" spans="1:12" ht="15" thickBot="1" x14ac:dyDescent="0.35">
      <c r="A790" s="27"/>
      <c r="B790" s="27"/>
      <c r="C790" s="27"/>
      <c r="D790" s="27"/>
      <c r="E790" s="27"/>
      <c r="F790" s="27"/>
      <c r="G790" s="27"/>
      <c r="H790" s="27"/>
      <c r="I790" s="27"/>
      <c r="J790" s="27"/>
      <c r="K790" s="27"/>
      <c r="L790" s="27"/>
    </row>
    <row r="791" spans="1:12" ht="15" thickBot="1" x14ac:dyDescent="0.35">
      <c r="A791" s="27"/>
      <c r="B791" s="27"/>
      <c r="C791" s="27"/>
      <c r="D791" s="27"/>
      <c r="E791" s="27"/>
      <c r="F791" s="27"/>
      <c r="G791" s="27"/>
      <c r="H791" s="27"/>
      <c r="I791" s="27"/>
      <c r="J791" s="27"/>
      <c r="K791" s="27"/>
      <c r="L791" s="27"/>
    </row>
    <row r="792" spans="1:12" ht="15" thickBot="1" x14ac:dyDescent="0.35">
      <c r="A792" s="27"/>
      <c r="B792" s="27"/>
      <c r="C792" s="27"/>
      <c r="D792" s="27"/>
      <c r="E792" s="27"/>
      <c r="F792" s="27"/>
      <c r="G792" s="27"/>
      <c r="H792" s="27"/>
      <c r="I792" s="27"/>
      <c r="J792" s="27"/>
      <c r="K792" s="27"/>
      <c r="L792" s="27"/>
    </row>
    <row r="793" spans="1:12" ht="15" thickBot="1" x14ac:dyDescent="0.35">
      <c r="A793" s="27"/>
      <c r="B793" s="27"/>
      <c r="C793" s="27"/>
      <c r="D793" s="27"/>
      <c r="E793" s="27"/>
      <c r="F793" s="27"/>
      <c r="G793" s="27"/>
      <c r="H793" s="27"/>
      <c r="I793" s="27"/>
      <c r="J793" s="27"/>
      <c r="K793" s="27"/>
      <c r="L793" s="27"/>
    </row>
    <row r="794" spans="1:12" ht="15" thickBot="1" x14ac:dyDescent="0.35">
      <c r="A794" s="27"/>
      <c r="B794" s="27"/>
      <c r="C794" s="27"/>
      <c r="D794" s="27"/>
      <c r="E794" s="27"/>
      <c r="F794" s="27"/>
      <c r="G794" s="27"/>
      <c r="H794" s="27"/>
      <c r="I794" s="27"/>
      <c r="J794" s="27"/>
      <c r="K794" s="27"/>
      <c r="L794" s="27"/>
    </row>
    <row r="795" spans="1:12" ht="15" thickBot="1" x14ac:dyDescent="0.35">
      <c r="A795" s="27"/>
      <c r="B795" s="27"/>
      <c r="C795" s="27"/>
      <c r="D795" s="27"/>
      <c r="E795" s="27"/>
      <c r="F795" s="27"/>
      <c r="G795" s="27"/>
      <c r="H795" s="27"/>
      <c r="I795" s="27"/>
      <c r="J795" s="27"/>
      <c r="K795" s="27"/>
      <c r="L795" s="27"/>
    </row>
    <row r="796" spans="1:12" ht="15" thickBot="1" x14ac:dyDescent="0.35">
      <c r="A796" s="27"/>
      <c r="B796" s="27"/>
      <c r="C796" s="27"/>
      <c r="D796" s="27"/>
      <c r="E796" s="27"/>
      <c r="F796" s="27"/>
      <c r="G796" s="27"/>
      <c r="H796" s="27"/>
      <c r="I796" s="27"/>
      <c r="J796" s="27"/>
      <c r="K796" s="27"/>
      <c r="L796" s="27"/>
    </row>
    <row r="797" spans="1:12" ht="15" thickBot="1" x14ac:dyDescent="0.35">
      <c r="A797" s="27"/>
      <c r="B797" s="27"/>
      <c r="C797" s="27"/>
      <c r="D797" s="27"/>
      <c r="E797" s="27"/>
      <c r="F797" s="27"/>
      <c r="G797" s="27"/>
      <c r="H797" s="27"/>
      <c r="I797" s="27"/>
      <c r="J797" s="27"/>
      <c r="K797" s="27"/>
      <c r="L797" s="27"/>
    </row>
    <row r="798" spans="1:12" ht="15" thickBot="1" x14ac:dyDescent="0.35">
      <c r="A798" s="27"/>
      <c r="B798" s="27"/>
      <c r="C798" s="27"/>
      <c r="D798" s="27"/>
      <c r="E798" s="27"/>
      <c r="F798" s="27"/>
      <c r="G798" s="27"/>
      <c r="H798" s="27"/>
      <c r="I798" s="27"/>
      <c r="J798" s="27"/>
      <c r="K798" s="27"/>
      <c r="L798" s="27"/>
    </row>
    <row r="799" spans="1:12" ht="15" thickBot="1" x14ac:dyDescent="0.35">
      <c r="A799" s="27"/>
      <c r="B799" s="27"/>
      <c r="C799" s="27"/>
      <c r="D799" s="27"/>
      <c r="E799" s="27"/>
      <c r="F799" s="27"/>
      <c r="G799" s="27"/>
      <c r="H799" s="27"/>
      <c r="I799" s="27"/>
      <c r="J799" s="27"/>
      <c r="K799" s="27"/>
      <c r="L799" s="27"/>
    </row>
    <row r="800" spans="1:12" ht="15" thickBot="1" x14ac:dyDescent="0.35">
      <c r="A800" s="27"/>
      <c r="B800" s="27"/>
      <c r="C800" s="27"/>
      <c r="D800" s="27"/>
      <c r="E800" s="27"/>
      <c r="F800" s="27"/>
      <c r="G800" s="27"/>
      <c r="H800" s="27"/>
      <c r="I800" s="27"/>
      <c r="J800" s="27"/>
      <c r="K800" s="27"/>
      <c r="L800" s="27"/>
    </row>
    <row r="801" spans="1:12" ht="15" thickBot="1" x14ac:dyDescent="0.35">
      <c r="A801" s="27"/>
      <c r="B801" s="27"/>
      <c r="C801" s="27"/>
      <c r="D801" s="27"/>
      <c r="E801" s="27"/>
      <c r="F801" s="27"/>
      <c r="G801" s="27"/>
      <c r="H801" s="27"/>
      <c r="I801" s="27"/>
      <c r="J801" s="27"/>
      <c r="K801" s="27"/>
      <c r="L801" s="27"/>
    </row>
    <row r="802" spans="1:12" ht="15" thickBot="1" x14ac:dyDescent="0.35">
      <c r="A802" s="27"/>
      <c r="B802" s="27"/>
      <c r="C802" s="27"/>
      <c r="D802" s="27"/>
      <c r="E802" s="27"/>
      <c r="F802" s="27"/>
      <c r="G802" s="27"/>
      <c r="H802" s="27"/>
      <c r="I802" s="27"/>
      <c r="J802" s="27"/>
      <c r="K802" s="27"/>
      <c r="L802" s="27"/>
    </row>
    <row r="803" spans="1:12" ht="15" thickBot="1" x14ac:dyDescent="0.35">
      <c r="A803" s="27"/>
      <c r="B803" s="27"/>
      <c r="C803" s="27"/>
      <c r="D803" s="27"/>
      <c r="E803" s="27"/>
      <c r="F803" s="27"/>
      <c r="G803" s="27"/>
      <c r="H803" s="27"/>
      <c r="I803" s="27"/>
      <c r="J803" s="27"/>
      <c r="K803" s="27"/>
      <c r="L803" s="27"/>
    </row>
    <row r="804" spans="1:12" ht="15" thickBot="1" x14ac:dyDescent="0.35">
      <c r="A804" s="27"/>
      <c r="B804" s="27"/>
      <c r="C804" s="27"/>
      <c r="D804" s="27"/>
      <c r="E804" s="27"/>
      <c r="F804" s="27"/>
      <c r="G804" s="27"/>
      <c r="H804" s="27"/>
      <c r="I804" s="27"/>
      <c r="J804" s="27"/>
      <c r="K804" s="27"/>
      <c r="L804" s="27"/>
    </row>
    <row r="805" spans="1:12" ht="15" thickBot="1" x14ac:dyDescent="0.35">
      <c r="A805" s="27"/>
      <c r="B805" s="27"/>
      <c r="C805" s="27"/>
      <c r="D805" s="27"/>
      <c r="E805" s="27"/>
      <c r="F805" s="27"/>
      <c r="G805" s="27"/>
      <c r="H805" s="27"/>
      <c r="I805" s="27"/>
      <c r="J805" s="27"/>
      <c r="K805" s="27"/>
      <c r="L805" s="27"/>
    </row>
    <row r="806" spans="1:12" ht="15" thickBot="1" x14ac:dyDescent="0.35">
      <c r="A806" s="27"/>
      <c r="B806" s="27"/>
      <c r="C806" s="27"/>
      <c r="D806" s="27"/>
      <c r="E806" s="27"/>
      <c r="F806" s="27"/>
      <c r="G806" s="27"/>
      <c r="H806" s="27"/>
      <c r="I806" s="27"/>
      <c r="J806" s="27"/>
      <c r="K806" s="27"/>
      <c r="L806" s="27"/>
    </row>
    <row r="807" spans="1:12" ht="15" thickBot="1" x14ac:dyDescent="0.35">
      <c r="A807" s="27"/>
      <c r="B807" s="27"/>
      <c r="C807" s="27"/>
      <c r="D807" s="27"/>
      <c r="E807" s="27"/>
      <c r="F807" s="27"/>
      <c r="G807" s="27"/>
      <c r="H807" s="27"/>
      <c r="I807" s="27"/>
      <c r="J807" s="27"/>
      <c r="K807" s="27"/>
      <c r="L807" s="27"/>
    </row>
    <row r="808" spans="1:12" ht="15" thickBot="1" x14ac:dyDescent="0.35">
      <c r="A808" s="27"/>
      <c r="B808" s="27"/>
      <c r="C808" s="27"/>
      <c r="D808" s="27"/>
      <c r="E808" s="27"/>
      <c r="F808" s="27"/>
      <c r="G808" s="27"/>
      <c r="H808" s="27"/>
      <c r="I808" s="27"/>
      <c r="J808" s="27"/>
      <c r="K808" s="27"/>
      <c r="L808" s="27"/>
    </row>
    <row r="809" spans="1:12" ht="15" thickBot="1" x14ac:dyDescent="0.35">
      <c r="A809" s="27"/>
      <c r="B809" s="27"/>
      <c r="C809" s="27"/>
      <c r="D809" s="27"/>
      <c r="E809" s="27"/>
      <c r="F809" s="27"/>
      <c r="G809" s="27"/>
      <c r="H809" s="27"/>
      <c r="I809" s="27"/>
      <c r="J809" s="27"/>
      <c r="K809" s="27"/>
      <c r="L809" s="27"/>
    </row>
    <row r="810" spans="1:12" ht="15" thickBot="1" x14ac:dyDescent="0.35">
      <c r="A810" s="27"/>
      <c r="B810" s="27"/>
      <c r="C810" s="27"/>
      <c r="D810" s="27"/>
      <c r="E810" s="27"/>
      <c r="F810" s="27"/>
      <c r="G810" s="27"/>
      <c r="H810" s="27"/>
      <c r="I810" s="27"/>
      <c r="J810" s="27"/>
      <c r="K810" s="27"/>
      <c r="L810" s="27"/>
    </row>
    <row r="811" spans="1:12" ht="15" thickBot="1" x14ac:dyDescent="0.35">
      <c r="A811" s="27"/>
      <c r="B811" s="27"/>
      <c r="C811" s="27"/>
      <c r="D811" s="27"/>
      <c r="E811" s="27"/>
      <c r="F811" s="27"/>
      <c r="G811" s="27"/>
      <c r="H811" s="27"/>
      <c r="I811" s="27"/>
      <c r="J811" s="27"/>
      <c r="K811" s="27"/>
      <c r="L811" s="27"/>
    </row>
    <row r="812" spans="1:12" ht="15" thickBot="1" x14ac:dyDescent="0.35">
      <c r="A812" s="27"/>
      <c r="B812" s="27"/>
      <c r="C812" s="27"/>
      <c r="D812" s="27"/>
      <c r="E812" s="27"/>
      <c r="F812" s="27"/>
      <c r="G812" s="27"/>
      <c r="H812" s="27"/>
      <c r="I812" s="27"/>
      <c r="J812" s="27"/>
      <c r="K812" s="27"/>
      <c r="L812" s="27"/>
    </row>
    <row r="813" spans="1:12" ht="15" thickBot="1" x14ac:dyDescent="0.35">
      <c r="A813" s="27"/>
      <c r="B813" s="27"/>
      <c r="C813" s="27"/>
      <c r="D813" s="27"/>
      <c r="E813" s="27"/>
      <c r="F813" s="27"/>
      <c r="G813" s="27"/>
      <c r="H813" s="27"/>
      <c r="I813" s="27"/>
      <c r="J813" s="27"/>
      <c r="K813" s="27"/>
      <c r="L813" s="27"/>
    </row>
    <row r="814" spans="1:12" ht="15" thickBot="1" x14ac:dyDescent="0.35">
      <c r="A814" s="27"/>
      <c r="B814" s="27"/>
      <c r="C814" s="27"/>
      <c r="D814" s="27"/>
      <c r="E814" s="27"/>
      <c r="F814" s="27"/>
      <c r="G814" s="27"/>
      <c r="H814" s="27"/>
      <c r="I814" s="27"/>
      <c r="J814" s="27"/>
      <c r="K814" s="27"/>
      <c r="L814" s="27"/>
    </row>
    <row r="815" spans="1:12" ht="15" thickBot="1" x14ac:dyDescent="0.35">
      <c r="A815" s="27"/>
      <c r="B815" s="27"/>
      <c r="C815" s="27"/>
      <c r="D815" s="27"/>
      <c r="E815" s="27"/>
      <c r="F815" s="27"/>
      <c r="G815" s="27"/>
      <c r="H815" s="27"/>
      <c r="I815" s="27"/>
      <c r="J815" s="27"/>
      <c r="K815" s="27"/>
      <c r="L815" s="27"/>
    </row>
    <row r="816" spans="1:12" ht="15" thickBot="1" x14ac:dyDescent="0.35">
      <c r="A816" s="27"/>
      <c r="B816" s="27"/>
      <c r="C816" s="27"/>
      <c r="D816" s="27"/>
      <c r="E816" s="27"/>
      <c r="F816" s="27"/>
      <c r="G816" s="27"/>
      <c r="H816" s="27"/>
      <c r="I816" s="27"/>
      <c r="J816" s="27"/>
      <c r="K816" s="27"/>
      <c r="L816" s="27"/>
    </row>
    <row r="817" spans="1:12" ht="15" thickBot="1" x14ac:dyDescent="0.35">
      <c r="A817" s="27"/>
      <c r="B817" s="27"/>
      <c r="C817" s="27"/>
      <c r="D817" s="27"/>
      <c r="E817" s="27"/>
      <c r="F817" s="27"/>
      <c r="G817" s="27"/>
      <c r="H817" s="27"/>
      <c r="I817" s="27"/>
      <c r="J817" s="27"/>
      <c r="K817" s="27"/>
      <c r="L817" s="27"/>
    </row>
    <row r="818" spans="1:12" ht="15" thickBot="1" x14ac:dyDescent="0.35">
      <c r="A818" s="27"/>
      <c r="B818" s="27"/>
      <c r="C818" s="27"/>
      <c r="D818" s="27"/>
      <c r="E818" s="27"/>
      <c r="F818" s="27"/>
      <c r="G818" s="27"/>
      <c r="H818" s="27"/>
      <c r="I818" s="27"/>
      <c r="J818" s="27"/>
      <c r="K818" s="27"/>
      <c r="L818" s="27"/>
    </row>
    <row r="819" spans="1:12" ht="15" thickBot="1" x14ac:dyDescent="0.35">
      <c r="A819" s="27"/>
      <c r="B819" s="27"/>
      <c r="C819" s="27"/>
      <c r="D819" s="27"/>
      <c r="E819" s="27"/>
      <c r="F819" s="27"/>
      <c r="G819" s="27"/>
      <c r="H819" s="27"/>
      <c r="I819" s="27"/>
      <c r="J819" s="27"/>
      <c r="K819" s="27"/>
      <c r="L819" s="27"/>
    </row>
    <row r="820" spans="1:12" ht="15" thickBot="1" x14ac:dyDescent="0.35">
      <c r="A820" s="27"/>
      <c r="B820" s="27"/>
      <c r="C820" s="27"/>
      <c r="D820" s="27"/>
      <c r="E820" s="27"/>
      <c r="F820" s="27"/>
      <c r="G820" s="27"/>
      <c r="H820" s="27"/>
      <c r="I820" s="27"/>
      <c r="J820" s="27"/>
      <c r="K820" s="27"/>
      <c r="L820" s="27"/>
    </row>
    <row r="821" spans="1:12" ht="15" thickBot="1" x14ac:dyDescent="0.35">
      <c r="A821" s="27"/>
      <c r="B821" s="27"/>
      <c r="C821" s="27"/>
      <c r="D821" s="27"/>
      <c r="E821" s="27"/>
      <c r="F821" s="27"/>
      <c r="G821" s="27"/>
      <c r="H821" s="27"/>
      <c r="I821" s="27"/>
      <c r="J821" s="27"/>
      <c r="K821" s="27"/>
      <c r="L821" s="27"/>
    </row>
    <row r="822" spans="1:12" ht="15" thickBot="1" x14ac:dyDescent="0.35">
      <c r="A822" s="27"/>
      <c r="B822" s="27"/>
      <c r="C822" s="27"/>
      <c r="D822" s="27"/>
      <c r="E822" s="27"/>
      <c r="F822" s="27"/>
      <c r="G822" s="27"/>
      <c r="H822" s="27"/>
      <c r="I822" s="27"/>
      <c r="J822" s="27"/>
      <c r="K822" s="27"/>
      <c r="L822" s="27"/>
    </row>
    <row r="823" spans="1:12" ht="15" thickBot="1" x14ac:dyDescent="0.35">
      <c r="A823" s="27"/>
      <c r="B823" s="27"/>
      <c r="C823" s="27"/>
      <c r="D823" s="27"/>
      <c r="E823" s="27"/>
      <c r="F823" s="27"/>
      <c r="G823" s="27"/>
      <c r="H823" s="27"/>
      <c r="I823" s="27"/>
      <c r="J823" s="27"/>
      <c r="K823" s="27"/>
      <c r="L823" s="27"/>
    </row>
    <row r="824" spans="1:12" ht="15" thickBot="1" x14ac:dyDescent="0.35">
      <c r="A824" s="27"/>
      <c r="B824" s="27"/>
      <c r="C824" s="27"/>
      <c r="D824" s="27"/>
      <c r="E824" s="27"/>
      <c r="F824" s="27"/>
      <c r="G824" s="27"/>
      <c r="H824" s="27"/>
      <c r="I824" s="27"/>
      <c r="J824" s="27"/>
      <c r="K824" s="27"/>
      <c r="L824" s="27"/>
    </row>
    <row r="825" spans="1:12" ht="15" thickBot="1" x14ac:dyDescent="0.35">
      <c r="A825" s="27"/>
      <c r="B825" s="27"/>
      <c r="C825" s="27"/>
      <c r="D825" s="27"/>
      <c r="E825" s="27"/>
      <c r="F825" s="27"/>
      <c r="G825" s="27"/>
      <c r="H825" s="27"/>
      <c r="I825" s="27"/>
      <c r="J825" s="27"/>
      <c r="K825" s="27"/>
      <c r="L825" s="27"/>
    </row>
    <row r="826" spans="1:12" ht="15" thickBot="1" x14ac:dyDescent="0.35">
      <c r="A826" s="27"/>
      <c r="B826" s="27"/>
      <c r="C826" s="27"/>
      <c r="D826" s="27"/>
      <c r="E826" s="27"/>
      <c r="F826" s="27"/>
      <c r="G826" s="27"/>
      <c r="H826" s="27"/>
      <c r="I826" s="27"/>
      <c r="J826" s="27"/>
      <c r="K826" s="27"/>
      <c r="L826" s="27"/>
    </row>
    <row r="827" spans="1:12" ht="15" thickBot="1" x14ac:dyDescent="0.35">
      <c r="A827" s="27"/>
      <c r="B827" s="27"/>
      <c r="C827" s="27"/>
      <c r="D827" s="27"/>
      <c r="E827" s="27"/>
      <c r="F827" s="27"/>
      <c r="G827" s="27"/>
      <c r="H827" s="27"/>
      <c r="I827" s="27"/>
      <c r="J827" s="27"/>
      <c r="K827" s="27"/>
      <c r="L827" s="27"/>
    </row>
    <row r="828" spans="1:12" ht="15" thickBot="1" x14ac:dyDescent="0.35">
      <c r="A828" s="27"/>
      <c r="B828" s="27"/>
      <c r="C828" s="27"/>
      <c r="D828" s="27"/>
      <c r="E828" s="27"/>
      <c r="F828" s="27"/>
      <c r="G828" s="27"/>
      <c r="H828" s="27"/>
      <c r="I828" s="27"/>
      <c r="J828" s="27"/>
      <c r="K828" s="27"/>
      <c r="L828" s="27"/>
    </row>
    <row r="829" spans="1:12" ht="15" thickBot="1" x14ac:dyDescent="0.35">
      <c r="A829" s="27"/>
      <c r="B829" s="27"/>
      <c r="C829" s="27"/>
      <c r="D829" s="27"/>
      <c r="E829" s="27"/>
      <c r="F829" s="27"/>
      <c r="G829" s="27"/>
      <c r="H829" s="27"/>
      <c r="I829" s="27"/>
      <c r="J829" s="27"/>
      <c r="K829" s="27"/>
      <c r="L829" s="27"/>
    </row>
    <row r="830" spans="1:12" ht="15" thickBot="1" x14ac:dyDescent="0.35">
      <c r="A830" s="27"/>
      <c r="B830" s="27"/>
      <c r="C830" s="27"/>
      <c r="D830" s="27"/>
      <c r="E830" s="27"/>
      <c r="F830" s="27"/>
      <c r="G830" s="27"/>
      <c r="H830" s="27"/>
      <c r="I830" s="27"/>
      <c r="J830" s="27"/>
      <c r="K830" s="27"/>
      <c r="L830" s="27"/>
    </row>
    <row r="831" spans="1:12" ht="15" thickBot="1" x14ac:dyDescent="0.35">
      <c r="A831" s="27"/>
      <c r="B831" s="27"/>
      <c r="C831" s="27"/>
      <c r="D831" s="27"/>
      <c r="E831" s="27"/>
      <c r="F831" s="27"/>
      <c r="G831" s="27"/>
      <c r="H831" s="27"/>
      <c r="I831" s="27"/>
      <c r="J831" s="27"/>
      <c r="K831" s="27"/>
      <c r="L831" s="27"/>
    </row>
    <row r="832" spans="1:12" ht="15" thickBot="1" x14ac:dyDescent="0.35">
      <c r="A832" s="27"/>
      <c r="B832" s="27"/>
      <c r="C832" s="27"/>
      <c r="D832" s="27"/>
      <c r="E832" s="27"/>
      <c r="F832" s="27"/>
      <c r="G832" s="27"/>
      <c r="H832" s="27"/>
      <c r="I832" s="27"/>
      <c r="J832" s="27"/>
      <c r="K832" s="27"/>
      <c r="L832" s="27"/>
    </row>
    <row r="833" spans="1:12" ht="15" thickBot="1" x14ac:dyDescent="0.35">
      <c r="A833" s="27"/>
      <c r="B833" s="27"/>
      <c r="C833" s="27"/>
      <c r="D833" s="27"/>
      <c r="E833" s="27"/>
      <c r="F833" s="27"/>
      <c r="G833" s="27"/>
      <c r="H833" s="27"/>
      <c r="I833" s="27"/>
      <c r="J833" s="27"/>
      <c r="K833" s="27"/>
      <c r="L833" s="27"/>
    </row>
    <row r="834" spans="1:12" ht="15" thickBot="1" x14ac:dyDescent="0.35">
      <c r="A834" s="27"/>
      <c r="B834" s="27"/>
      <c r="C834" s="27"/>
      <c r="D834" s="27"/>
      <c r="E834" s="27"/>
      <c r="F834" s="27"/>
      <c r="G834" s="27"/>
      <c r="H834" s="27"/>
      <c r="I834" s="27"/>
      <c r="J834" s="27"/>
      <c r="K834" s="27"/>
      <c r="L834" s="27"/>
    </row>
    <row r="835" spans="1:12" ht="15" thickBot="1" x14ac:dyDescent="0.35">
      <c r="A835" s="27"/>
      <c r="B835" s="27"/>
      <c r="C835" s="27"/>
      <c r="D835" s="27"/>
      <c r="E835" s="27"/>
      <c r="F835" s="27"/>
      <c r="G835" s="27"/>
      <c r="H835" s="27"/>
      <c r="I835" s="27"/>
      <c r="J835" s="27"/>
      <c r="K835" s="27"/>
      <c r="L835" s="27"/>
    </row>
    <row r="836" spans="1:12" ht="15" thickBot="1" x14ac:dyDescent="0.35">
      <c r="A836" s="27"/>
      <c r="B836" s="27"/>
      <c r="C836" s="27"/>
      <c r="D836" s="27"/>
      <c r="E836" s="27"/>
      <c r="F836" s="27"/>
      <c r="G836" s="27"/>
      <c r="H836" s="27"/>
      <c r="I836" s="27"/>
      <c r="J836" s="27"/>
      <c r="K836" s="27"/>
      <c r="L836" s="27"/>
    </row>
    <row r="837" spans="1:12" ht="15" thickBot="1" x14ac:dyDescent="0.35">
      <c r="A837" s="27"/>
      <c r="B837" s="27"/>
      <c r="C837" s="27"/>
      <c r="D837" s="27"/>
      <c r="E837" s="27"/>
      <c r="F837" s="27"/>
      <c r="G837" s="27"/>
      <c r="H837" s="27"/>
      <c r="I837" s="27"/>
      <c r="J837" s="27"/>
      <c r="K837" s="27"/>
      <c r="L837" s="27"/>
    </row>
    <row r="838" spans="1:12" ht="15" thickBot="1" x14ac:dyDescent="0.35">
      <c r="A838" s="27"/>
      <c r="B838" s="27"/>
      <c r="C838" s="27"/>
      <c r="D838" s="27"/>
      <c r="E838" s="27"/>
      <c r="F838" s="27"/>
      <c r="G838" s="27"/>
      <c r="H838" s="27"/>
      <c r="I838" s="27"/>
      <c r="J838" s="27"/>
      <c r="K838" s="27"/>
      <c r="L838" s="27"/>
    </row>
    <row r="839" spans="1:12" ht="15" thickBot="1" x14ac:dyDescent="0.35">
      <c r="A839" s="27"/>
      <c r="B839" s="27"/>
      <c r="C839" s="27"/>
      <c r="D839" s="27"/>
      <c r="E839" s="27"/>
      <c r="F839" s="27"/>
      <c r="G839" s="27"/>
      <c r="H839" s="27"/>
      <c r="I839" s="27"/>
      <c r="J839" s="27"/>
      <c r="K839" s="27"/>
      <c r="L839" s="27"/>
    </row>
    <row r="840" spans="1:12" ht="15" thickBot="1" x14ac:dyDescent="0.35">
      <c r="A840" s="27"/>
      <c r="B840" s="27"/>
      <c r="C840" s="27"/>
      <c r="D840" s="27"/>
      <c r="E840" s="27"/>
      <c r="F840" s="27"/>
      <c r="G840" s="27"/>
      <c r="H840" s="27"/>
      <c r="I840" s="27"/>
      <c r="J840" s="27"/>
      <c r="K840" s="27"/>
      <c r="L840" s="27"/>
    </row>
    <row r="841" spans="1:12" ht="15" thickBot="1" x14ac:dyDescent="0.35">
      <c r="A841" s="27"/>
      <c r="B841" s="27"/>
      <c r="C841" s="27"/>
      <c r="D841" s="27"/>
      <c r="E841" s="27"/>
      <c r="F841" s="27"/>
      <c r="G841" s="27"/>
      <c r="H841" s="27"/>
      <c r="I841" s="27"/>
      <c r="J841" s="27"/>
      <c r="K841" s="27"/>
      <c r="L841" s="27"/>
    </row>
    <row r="842" spans="1:12" ht="15" thickBot="1" x14ac:dyDescent="0.35">
      <c r="A842" s="27"/>
      <c r="B842" s="27"/>
      <c r="C842" s="27"/>
      <c r="D842" s="27"/>
      <c r="E842" s="27"/>
      <c r="F842" s="27"/>
      <c r="G842" s="27"/>
      <c r="H842" s="27"/>
      <c r="I842" s="27"/>
      <c r="J842" s="27"/>
      <c r="K842" s="27"/>
      <c r="L842" s="27"/>
    </row>
    <row r="843" spans="1:12" ht="15" thickBot="1" x14ac:dyDescent="0.35">
      <c r="A843" s="27"/>
      <c r="B843" s="27"/>
      <c r="C843" s="27"/>
      <c r="D843" s="27"/>
      <c r="E843" s="27"/>
      <c r="F843" s="27"/>
      <c r="G843" s="27"/>
      <c r="H843" s="27"/>
      <c r="I843" s="27"/>
      <c r="J843" s="27"/>
      <c r="K843" s="27"/>
      <c r="L843" s="27"/>
    </row>
    <row r="844" spans="1:12" ht="15" thickBot="1" x14ac:dyDescent="0.35">
      <c r="A844" s="27"/>
      <c r="B844" s="27"/>
      <c r="C844" s="27"/>
      <c r="D844" s="27"/>
      <c r="E844" s="27"/>
      <c r="F844" s="27"/>
      <c r="G844" s="27"/>
      <c r="H844" s="27"/>
      <c r="I844" s="27"/>
      <c r="J844" s="27"/>
      <c r="K844" s="27"/>
      <c r="L844" s="27"/>
    </row>
    <row r="845" spans="1:12" ht="15" thickBot="1" x14ac:dyDescent="0.35">
      <c r="A845" s="27"/>
      <c r="B845" s="27"/>
      <c r="C845" s="27"/>
      <c r="D845" s="27"/>
      <c r="E845" s="27"/>
      <c r="F845" s="27"/>
      <c r="G845" s="27"/>
      <c r="H845" s="27"/>
      <c r="I845" s="27"/>
      <c r="J845" s="27"/>
      <c r="K845" s="27"/>
      <c r="L845" s="27"/>
    </row>
    <row r="846" spans="1:12" ht="15" thickBot="1" x14ac:dyDescent="0.35">
      <c r="A846" s="27"/>
      <c r="B846" s="27"/>
      <c r="C846" s="27"/>
      <c r="D846" s="27"/>
      <c r="E846" s="27"/>
      <c r="F846" s="27"/>
      <c r="G846" s="27"/>
      <c r="H846" s="27"/>
      <c r="I846" s="27"/>
      <c r="J846" s="27"/>
      <c r="K846" s="27"/>
      <c r="L846" s="27"/>
    </row>
    <row r="847" spans="1:12" ht="15" thickBot="1" x14ac:dyDescent="0.35">
      <c r="A847" s="27"/>
      <c r="B847" s="27"/>
      <c r="C847" s="27"/>
      <c r="D847" s="27"/>
      <c r="E847" s="27"/>
      <c r="F847" s="27"/>
      <c r="G847" s="27"/>
      <c r="H847" s="27"/>
      <c r="I847" s="27"/>
      <c r="J847" s="27"/>
      <c r="K847" s="27"/>
      <c r="L847" s="27"/>
    </row>
    <row r="848" spans="1:12" ht="15" thickBot="1" x14ac:dyDescent="0.35">
      <c r="A848" s="27"/>
      <c r="B848" s="27"/>
      <c r="C848" s="27"/>
      <c r="D848" s="27"/>
      <c r="E848" s="27"/>
      <c r="F848" s="27"/>
      <c r="G848" s="27"/>
      <c r="H848" s="27"/>
      <c r="I848" s="27"/>
      <c r="J848" s="27"/>
      <c r="K848" s="27"/>
      <c r="L848" s="27"/>
    </row>
    <row r="849" spans="1:12" ht="15" thickBot="1" x14ac:dyDescent="0.35">
      <c r="A849" s="27"/>
      <c r="B849" s="27"/>
      <c r="C849" s="27"/>
      <c r="D849" s="27"/>
      <c r="E849" s="27"/>
      <c r="F849" s="27"/>
      <c r="G849" s="27"/>
      <c r="H849" s="27"/>
      <c r="I849" s="27"/>
      <c r="J849" s="27"/>
      <c r="K849" s="27"/>
      <c r="L849" s="27"/>
    </row>
    <row r="850" spans="1:12" ht="15" thickBot="1" x14ac:dyDescent="0.35">
      <c r="A850" s="27"/>
      <c r="B850" s="27"/>
      <c r="C850" s="27"/>
      <c r="D850" s="27"/>
      <c r="E850" s="27"/>
      <c r="F850" s="27"/>
      <c r="G850" s="27"/>
      <c r="H850" s="27"/>
      <c r="I850" s="27"/>
      <c r="J850" s="27"/>
      <c r="K850" s="27"/>
      <c r="L850" s="27"/>
    </row>
    <row r="851" spans="1:12" ht="15" thickBot="1" x14ac:dyDescent="0.35">
      <c r="A851" s="27"/>
      <c r="B851" s="27"/>
      <c r="C851" s="27"/>
      <c r="D851" s="27"/>
      <c r="E851" s="27"/>
      <c r="F851" s="27"/>
      <c r="G851" s="27"/>
      <c r="H851" s="27"/>
      <c r="I851" s="27"/>
      <c r="J851" s="27"/>
      <c r="K851" s="27"/>
      <c r="L851" s="27"/>
    </row>
    <row r="852" spans="1:12" ht="15" thickBot="1" x14ac:dyDescent="0.35">
      <c r="A852" s="27"/>
      <c r="B852" s="27"/>
      <c r="C852" s="27"/>
      <c r="D852" s="27"/>
      <c r="E852" s="27"/>
      <c r="F852" s="27"/>
      <c r="G852" s="27"/>
      <c r="H852" s="27"/>
      <c r="I852" s="27"/>
      <c r="J852" s="27"/>
      <c r="K852" s="27"/>
      <c r="L852" s="27"/>
    </row>
    <row r="853" spans="1:12" ht="15" thickBot="1" x14ac:dyDescent="0.35">
      <c r="A853" s="27"/>
      <c r="B853" s="27"/>
      <c r="C853" s="27"/>
      <c r="D853" s="27"/>
      <c r="E853" s="27"/>
      <c r="F853" s="27"/>
      <c r="G853" s="27"/>
      <c r="H853" s="27"/>
      <c r="I853" s="27"/>
      <c r="J853" s="27"/>
      <c r="K853" s="27"/>
      <c r="L853" s="27"/>
    </row>
    <row r="854" spans="1:12" ht="15" thickBot="1" x14ac:dyDescent="0.35">
      <c r="A854" s="27"/>
      <c r="B854" s="27"/>
      <c r="C854" s="27"/>
      <c r="D854" s="27"/>
      <c r="E854" s="27"/>
      <c r="F854" s="27"/>
      <c r="G854" s="27"/>
      <c r="H854" s="27"/>
      <c r="I854" s="27"/>
      <c r="J854" s="27"/>
      <c r="K854" s="27"/>
      <c r="L854" s="27"/>
    </row>
    <row r="855" spans="1:12" ht="15" thickBot="1" x14ac:dyDescent="0.35">
      <c r="A855" s="27"/>
      <c r="B855" s="27"/>
      <c r="C855" s="27"/>
      <c r="D855" s="27"/>
      <c r="E855" s="27"/>
      <c r="F855" s="27"/>
      <c r="G855" s="27"/>
      <c r="H855" s="27"/>
      <c r="I855" s="27"/>
      <c r="J855" s="27"/>
      <c r="K855" s="27"/>
      <c r="L855" s="27"/>
    </row>
    <row r="856" spans="1:12" ht="15" thickBot="1" x14ac:dyDescent="0.35">
      <c r="A856" s="27"/>
      <c r="B856" s="27"/>
      <c r="C856" s="27"/>
      <c r="D856" s="27"/>
      <c r="E856" s="27"/>
      <c r="F856" s="27"/>
      <c r="G856" s="27"/>
      <c r="H856" s="27"/>
      <c r="I856" s="27"/>
      <c r="J856" s="27"/>
      <c r="K856" s="27"/>
      <c r="L856" s="27"/>
    </row>
    <row r="857" spans="1:12" ht="15" thickBot="1" x14ac:dyDescent="0.35">
      <c r="A857" s="27"/>
      <c r="B857" s="27"/>
      <c r="C857" s="27"/>
      <c r="D857" s="27"/>
      <c r="E857" s="27"/>
      <c r="F857" s="27"/>
      <c r="G857" s="27"/>
      <c r="H857" s="27"/>
      <c r="I857" s="27"/>
      <c r="J857" s="27"/>
      <c r="K857" s="27"/>
      <c r="L857" s="27"/>
    </row>
    <row r="858" spans="1:12" ht="15" thickBot="1" x14ac:dyDescent="0.35">
      <c r="A858" s="27"/>
      <c r="B858" s="27"/>
      <c r="C858" s="27"/>
      <c r="D858" s="27"/>
      <c r="E858" s="27"/>
      <c r="F858" s="27"/>
      <c r="G858" s="27"/>
      <c r="H858" s="27"/>
      <c r="I858" s="27"/>
      <c r="J858" s="27"/>
      <c r="K858" s="27"/>
      <c r="L858" s="27"/>
    </row>
    <row r="859" spans="1:12" ht="15" thickBot="1" x14ac:dyDescent="0.35">
      <c r="A859" s="27"/>
      <c r="B859" s="27"/>
      <c r="C859" s="27"/>
      <c r="D859" s="27"/>
      <c r="E859" s="27"/>
      <c r="F859" s="27"/>
      <c r="G859" s="27"/>
      <c r="H859" s="27"/>
      <c r="I859" s="27"/>
      <c r="J859" s="27"/>
      <c r="K859" s="27"/>
      <c r="L859" s="27"/>
    </row>
    <row r="860" spans="1:12" ht="15" thickBot="1" x14ac:dyDescent="0.35">
      <c r="A860" s="27"/>
      <c r="B860" s="27"/>
      <c r="C860" s="27"/>
      <c r="D860" s="27"/>
      <c r="E860" s="27"/>
      <c r="F860" s="27"/>
      <c r="G860" s="27"/>
      <c r="H860" s="27"/>
      <c r="I860" s="27"/>
      <c r="J860" s="27"/>
      <c r="K860" s="27"/>
      <c r="L860" s="27"/>
    </row>
    <row r="861" spans="1:12" ht="15" thickBot="1" x14ac:dyDescent="0.35">
      <c r="A861" s="27"/>
      <c r="B861" s="27"/>
      <c r="C861" s="27"/>
      <c r="D861" s="27"/>
      <c r="E861" s="27"/>
      <c r="F861" s="27"/>
      <c r="G861" s="27"/>
      <c r="H861" s="27"/>
      <c r="I861" s="27"/>
      <c r="J861" s="27"/>
      <c r="K861" s="27"/>
      <c r="L861" s="27"/>
    </row>
    <row r="862" spans="1:12" ht="15" thickBot="1" x14ac:dyDescent="0.35">
      <c r="A862" s="27"/>
      <c r="B862" s="27"/>
      <c r="C862" s="27"/>
      <c r="D862" s="27"/>
      <c r="E862" s="27"/>
      <c r="F862" s="27"/>
      <c r="G862" s="27"/>
      <c r="H862" s="27"/>
      <c r="I862" s="27"/>
      <c r="J862" s="27"/>
      <c r="K862" s="27"/>
      <c r="L862" s="27"/>
    </row>
    <row r="863" spans="1:12" ht="15" thickBot="1" x14ac:dyDescent="0.35">
      <c r="A863" s="27"/>
      <c r="B863" s="27"/>
      <c r="C863" s="27"/>
      <c r="D863" s="27"/>
      <c r="E863" s="27"/>
      <c r="F863" s="27"/>
      <c r="G863" s="27"/>
      <c r="H863" s="27"/>
      <c r="I863" s="27"/>
      <c r="J863" s="27"/>
      <c r="K863" s="27"/>
      <c r="L863" s="27"/>
    </row>
    <row r="864" spans="1:12" ht="15" thickBot="1" x14ac:dyDescent="0.35">
      <c r="A864" s="27"/>
      <c r="B864" s="27"/>
      <c r="C864" s="27"/>
      <c r="D864" s="27"/>
      <c r="E864" s="27"/>
      <c r="F864" s="27"/>
      <c r="G864" s="27"/>
      <c r="H864" s="27"/>
      <c r="I864" s="27"/>
      <c r="J864" s="27"/>
      <c r="K864" s="27"/>
      <c r="L864" s="27"/>
    </row>
    <row r="865" spans="1:12" ht="15" thickBot="1" x14ac:dyDescent="0.35">
      <c r="A865" s="27"/>
      <c r="B865" s="27"/>
      <c r="C865" s="27"/>
      <c r="D865" s="27"/>
      <c r="E865" s="27"/>
      <c r="F865" s="27"/>
      <c r="G865" s="27"/>
      <c r="H865" s="27"/>
      <c r="I865" s="27"/>
      <c r="J865" s="27"/>
      <c r="K865" s="27"/>
      <c r="L865" s="27"/>
    </row>
    <row r="866" spans="1:12" ht="15" thickBot="1" x14ac:dyDescent="0.35">
      <c r="A866" s="27"/>
      <c r="B866" s="27"/>
      <c r="C866" s="27"/>
      <c r="D866" s="27"/>
      <c r="E866" s="27"/>
      <c r="F866" s="27"/>
      <c r="G866" s="27"/>
      <c r="H866" s="27"/>
      <c r="I866" s="27"/>
      <c r="J866" s="27"/>
      <c r="K866" s="27"/>
      <c r="L866" s="27"/>
    </row>
    <row r="867" spans="1:12" ht="15" thickBot="1" x14ac:dyDescent="0.35">
      <c r="A867" s="27"/>
      <c r="B867" s="27"/>
      <c r="C867" s="27"/>
      <c r="D867" s="27"/>
      <c r="E867" s="27"/>
      <c r="F867" s="27"/>
      <c r="G867" s="27"/>
      <c r="H867" s="27"/>
      <c r="I867" s="27"/>
      <c r="J867" s="27"/>
      <c r="K867" s="27"/>
      <c r="L867" s="27"/>
    </row>
    <row r="868" spans="1:12" ht="15" thickBot="1" x14ac:dyDescent="0.35">
      <c r="A868" s="27"/>
      <c r="B868" s="27"/>
      <c r="C868" s="27"/>
      <c r="D868" s="27"/>
      <c r="E868" s="27"/>
      <c r="F868" s="27"/>
      <c r="G868" s="27"/>
      <c r="H868" s="27"/>
      <c r="I868" s="27"/>
      <c r="J868" s="27"/>
      <c r="K868" s="27"/>
      <c r="L868" s="27"/>
    </row>
    <row r="869" spans="1:12" ht="15" thickBot="1" x14ac:dyDescent="0.35">
      <c r="A869" s="27"/>
      <c r="B869" s="27"/>
      <c r="C869" s="27"/>
      <c r="D869" s="27"/>
      <c r="E869" s="27"/>
      <c r="F869" s="27"/>
      <c r="G869" s="27"/>
      <c r="H869" s="27"/>
      <c r="I869" s="27"/>
      <c r="J869" s="27"/>
      <c r="K869" s="27"/>
      <c r="L869" s="27"/>
    </row>
    <row r="870" spans="1:12" ht="15" thickBot="1" x14ac:dyDescent="0.35">
      <c r="A870" s="27"/>
      <c r="B870" s="27"/>
      <c r="C870" s="27"/>
      <c r="D870" s="27"/>
      <c r="E870" s="27"/>
      <c r="F870" s="27"/>
      <c r="G870" s="27"/>
      <c r="H870" s="27"/>
      <c r="I870" s="27"/>
      <c r="J870" s="27"/>
      <c r="K870" s="27"/>
      <c r="L870" s="27"/>
    </row>
    <row r="871" spans="1:12" ht="15" thickBot="1" x14ac:dyDescent="0.35">
      <c r="A871" s="27"/>
      <c r="B871" s="27"/>
      <c r="C871" s="27"/>
      <c r="D871" s="27"/>
      <c r="E871" s="27"/>
      <c r="F871" s="27"/>
      <c r="G871" s="27"/>
      <c r="H871" s="27"/>
      <c r="I871" s="27"/>
      <c r="J871" s="27"/>
      <c r="K871" s="27"/>
      <c r="L871" s="27"/>
    </row>
    <row r="872" spans="1:12" ht="15" thickBot="1" x14ac:dyDescent="0.35">
      <c r="A872" s="27"/>
      <c r="B872" s="27"/>
      <c r="C872" s="27"/>
      <c r="D872" s="27"/>
      <c r="E872" s="27"/>
      <c r="F872" s="27"/>
      <c r="G872" s="27"/>
      <c r="H872" s="27"/>
      <c r="I872" s="27"/>
      <c r="J872" s="27"/>
      <c r="K872" s="27"/>
      <c r="L872" s="27"/>
    </row>
    <row r="873" spans="1:12" ht="15" thickBot="1" x14ac:dyDescent="0.35">
      <c r="A873" s="27"/>
      <c r="B873" s="27"/>
      <c r="C873" s="27"/>
      <c r="D873" s="27"/>
      <c r="E873" s="27"/>
      <c r="F873" s="27"/>
      <c r="G873" s="27"/>
      <c r="H873" s="27"/>
      <c r="I873" s="27"/>
      <c r="J873" s="27"/>
      <c r="K873" s="27"/>
      <c r="L873" s="27"/>
    </row>
    <row r="874" spans="1:12" ht="15" thickBot="1" x14ac:dyDescent="0.35">
      <c r="A874" s="27"/>
      <c r="B874" s="27"/>
      <c r="C874" s="27"/>
      <c r="D874" s="27"/>
      <c r="E874" s="27"/>
      <c r="F874" s="27"/>
      <c r="G874" s="27"/>
      <c r="H874" s="27"/>
      <c r="I874" s="27"/>
      <c r="J874" s="27"/>
      <c r="K874" s="27"/>
      <c r="L874" s="27"/>
    </row>
    <row r="875" spans="1:12" ht="15" thickBot="1" x14ac:dyDescent="0.35">
      <c r="A875" s="27"/>
      <c r="B875" s="27"/>
      <c r="C875" s="27"/>
      <c r="D875" s="27"/>
      <c r="E875" s="27"/>
      <c r="F875" s="27"/>
      <c r="G875" s="27"/>
      <c r="H875" s="27"/>
      <c r="I875" s="27"/>
      <c r="J875" s="27"/>
      <c r="K875" s="27"/>
      <c r="L875" s="27"/>
    </row>
    <row r="876" spans="1:12" ht="15" thickBot="1" x14ac:dyDescent="0.35">
      <c r="A876" s="27"/>
      <c r="B876" s="27"/>
      <c r="C876" s="27"/>
      <c r="D876" s="27"/>
      <c r="E876" s="27"/>
      <c r="F876" s="27"/>
      <c r="G876" s="27"/>
      <c r="H876" s="27"/>
      <c r="I876" s="27"/>
      <c r="J876" s="27"/>
      <c r="K876" s="27"/>
      <c r="L876" s="27"/>
    </row>
    <row r="877" spans="1:12" ht="15" thickBot="1" x14ac:dyDescent="0.35">
      <c r="A877" s="27"/>
      <c r="B877" s="27"/>
      <c r="C877" s="27"/>
      <c r="D877" s="27"/>
      <c r="E877" s="27"/>
      <c r="F877" s="27"/>
      <c r="G877" s="27"/>
      <c r="H877" s="27"/>
      <c r="I877" s="27"/>
      <c r="J877" s="27"/>
      <c r="K877" s="27"/>
      <c r="L877" s="27"/>
    </row>
    <row r="878" spans="1:12" ht="15" thickBot="1" x14ac:dyDescent="0.35">
      <c r="A878" s="27"/>
      <c r="B878" s="27"/>
      <c r="C878" s="27"/>
      <c r="D878" s="27"/>
      <c r="E878" s="27"/>
      <c r="F878" s="27"/>
      <c r="G878" s="27"/>
      <c r="H878" s="27"/>
      <c r="I878" s="27"/>
      <c r="J878" s="27"/>
      <c r="K878" s="27"/>
      <c r="L878" s="27"/>
    </row>
    <row r="879" spans="1:12" ht="15" thickBot="1" x14ac:dyDescent="0.35">
      <c r="A879" s="27"/>
      <c r="B879" s="27"/>
      <c r="C879" s="27"/>
      <c r="D879" s="27"/>
      <c r="E879" s="27"/>
      <c r="F879" s="27"/>
      <c r="G879" s="27"/>
      <c r="H879" s="27"/>
      <c r="I879" s="27"/>
      <c r="J879" s="27"/>
      <c r="K879" s="27"/>
      <c r="L879" s="27"/>
    </row>
    <row r="880" spans="1:12" ht="15" thickBot="1" x14ac:dyDescent="0.35">
      <c r="A880" s="27"/>
      <c r="B880" s="27"/>
      <c r="C880" s="27"/>
      <c r="D880" s="27"/>
      <c r="E880" s="27"/>
      <c r="F880" s="27"/>
      <c r="G880" s="27"/>
      <c r="H880" s="27"/>
      <c r="I880" s="27"/>
      <c r="J880" s="27"/>
      <c r="K880" s="27"/>
      <c r="L880" s="27"/>
    </row>
    <row r="881" spans="1:12" ht="15" thickBot="1" x14ac:dyDescent="0.35">
      <c r="A881" s="27"/>
      <c r="B881" s="27"/>
      <c r="C881" s="27"/>
      <c r="D881" s="27"/>
      <c r="E881" s="27"/>
      <c r="F881" s="27"/>
      <c r="G881" s="27"/>
      <c r="H881" s="27"/>
      <c r="I881" s="27"/>
      <c r="J881" s="27"/>
      <c r="K881" s="27"/>
      <c r="L881" s="27"/>
    </row>
    <row r="882" spans="1:12" ht="15" thickBot="1" x14ac:dyDescent="0.35">
      <c r="A882" s="27"/>
      <c r="B882" s="27"/>
      <c r="C882" s="27"/>
      <c r="D882" s="27"/>
      <c r="E882" s="27"/>
      <c r="F882" s="27"/>
      <c r="G882" s="27"/>
      <c r="H882" s="27"/>
      <c r="I882" s="27"/>
      <c r="J882" s="27"/>
      <c r="K882" s="27"/>
      <c r="L882" s="27"/>
    </row>
    <row r="883" spans="1:12" ht="15" thickBot="1" x14ac:dyDescent="0.35">
      <c r="A883" s="27"/>
      <c r="B883" s="27"/>
      <c r="C883" s="27"/>
      <c r="D883" s="27"/>
      <c r="E883" s="27"/>
      <c r="F883" s="27"/>
      <c r="G883" s="27"/>
      <c r="H883" s="27"/>
      <c r="I883" s="27"/>
      <c r="J883" s="27"/>
      <c r="K883" s="27"/>
      <c r="L883" s="27"/>
    </row>
    <row r="884" spans="1:12" ht="15" thickBot="1" x14ac:dyDescent="0.35">
      <c r="A884" s="27"/>
      <c r="B884" s="27"/>
      <c r="C884" s="27"/>
      <c r="D884" s="27"/>
      <c r="E884" s="27"/>
      <c r="F884" s="27"/>
      <c r="G884" s="27"/>
      <c r="H884" s="27"/>
      <c r="I884" s="27"/>
      <c r="J884" s="27"/>
      <c r="K884" s="27"/>
      <c r="L884" s="27"/>
    </row>
    <row r="885" spans="1:12" ht="15" thickBot="1" x14ac:dyDescent="0.35">
      <c r="A885" s="27"/>
      <c r="B885" s="27"/>
      <c r="C885" s="27"/>
      <c r="D885" s="27"/>
      <c r="E885" s="27"/>
      <c r="F885" s="27"/>
      <c r="G885" s="27"/>
      <c r="H885" s="27"/>
      <c r="I885" s="27"/>
      <c r="J885" s="27"/>
      <c r="K885" s="27"/>
      <c r="L885" s="27"/>
    </row>
    <row r="886" spans="1:12" ht="15" thickBot="1" x14ac:dyDescent="0.35">
      <c r="A886" s="27"/>
      <c r="B886" s="27"/>
      <c r="C886" s="27"/>
      <c r="D886" s="27"/>
      <c r="E886" s="27"/>
      <c r="F886" s="27"/>
      <c r="G886" s="27"/>
      <c r="H886" s="27"/>
      <c r="I886" s="27"/>
      <c r="J886" s="27"/>
      <c r="K886" s="27"/>
      <c r="L886" s="27"/>
    </row>
    <row r="887" spans="1:12" ht="15" thickBot="1" x14ac:dyDescent="0.35">
      <c r="A887" s="27"/>
      <c r="B887" s="27"/>
      <c r="C887" s="27"/>
      <c r="D887" s="27"/>
      <c r="E887" s="27"/>
      <c r="F887" s="27"/>
      <c r="G887" s="27"/>
      <c r="H887" s="27"/>
      <c r="I887" s="27"/>
      <c r="J887" s="27"/>
      <c r="K887" s="27"/>
      <c r="L887" s="27"/>
    </row>
    <row r="888" spans="1:12" ht="15" thickBot="1" x14ac:dyDescent="0.35">
      <c r="A888" s="27"/>
      <c r="B888" s="27"/>
      <c r="C888" s="27"/>
      <c r="D888" s="27"/>
      <c r="E888" s="27"/>
      <c r="F888" s="27"/>
      <c r="G888" s="27"/>
      <c r="H888" s="27"/>
      <c r="I888" s="27"/>
      <c r="J888" s="27"/>
      <c r="K888" s="27"/>
      <c r="L888" s="27"/>
    </row>
    <row r="889" spans="1:12" ht="15" thickBot="1" x14ac:dyDescent="0.35">
      <c r="A889" s="27"/>
      <c r="B889" s="27"/>
      <c r="C889" s="27"/>
      <c r="D889" s="27"/>
      <c r="E889" s="27"/>
      <c r="F889" s="27"/>
      <c r="G889" s="27"/>
      <c r="H889" s="27"/>
      <c r="I889" s="27"/>
      <c r="J889" s="27"/>
      <c r="K889" s="27"/>
      <c r="L889" s="27"/>
    </row>
    <row r="890" spans="1:12" ht="15" thickBot="1" x14ac:dyDescent="0.35">
      <c r="A890" s="27"/>
      <c r="B890" s="27"/>
      <c r="C890" s="27"/>
      <c r="D890" s="27"/>
      <c r="E890" s="27"/>
      <c r="F890" s="27"/>
      <c r="G890" s="27"/>
      <c r="H890" s="27"/>
      <c r="I890" s="27"/>
      <c r="J890" s="27"/>
      <c r="K890" s="27"/>
      <c r="L890" s="27"/>
    </row>
    <row r="891" spans="1:12" ht="15" thickBot="1" x14ac:dyDescent="0.35">
      <c r="A891" s="27"/>
      <c r="B891" s="27"/>
      <c r="C891" s="27"/>
      <c r="D891" s="27"/>
      <c r="E891" s="27"/>
      <c r="F891" s="27"/>
      <c r="G891" s="27"/>
      <c r="H891" s="27"/>
      <c r="I891" s="27"/>
      <c r="J891" s="27"/>
      <c r="K891" s="27"/>
      <c r="L891" s="27"/>
    </row>
    <row r="892" spans="1:12" ht="15" thickBot="1" x14ac:dyDescent="0.35">
      <c r="A892" s="27"/>
      <c r="B892" s="27"/>
      <c r="C892" s="27"/>
      <c r="D892" s="27"/>
      <c r="E892" s="27"/>
      <c r="F892" s="27"/>
      <c r="G892" s="27"/>
      <c r="H892" s="27"/>
      <c r="I892" s="27"/>
      <c r="J892" s="27"/>
      <c r="K892" s="27"/>
      <c r="L892" s="27"/>
    </row>
    <row r="893" spans="1:12" ht="15" thickBot="1" x14ac:dyDescent="0.35">
      <c r="A893" s="27"/>
      <c r="B893" s="27"/>
      <c r="C893" s="27"/>
      <c r="D893" s="27"/>
      <c r="E893" s="27"/>
      <c r="F893" s="27"/>
      <c r="G893" s="27"/>
      <c r="H893" s="27"/>
      <c r="I893" s="27"/>
      <c r="J893" s="27"/>
      <c r="K893" s="27"/>
      <c r="L893" s="27"/>
    </row>
    <row r="894" spans="1:12" ht="15" thickBot="1" x14ac:dyDescent="0.35">
      <c r="A894" s="27"/>
      <c r="B894" s="27"/>
      <c r="C894" s="27"/>
      <c r="D894" s="27"/>
      <c r="E894" s="27"/>
      <c r="F894" s="27"/>
      <c r="G894" s="27"/>
      <c r="H894" s="27"/>
      <c r="I894" s="27"/>
      <c r="J894" s="27"/>
      <c r="K894" s="27"/>
      <c r="L894" s="27"/>
    </row>
    <row r="895" spans="1:12" ht="15" thickBot="1" x14ac:dyDescent="0.35">
      <c r="A895" s="27"/>
      <c r="B895" s="27"/>
      <c r="C895" s="27"/>
      <c r="D895" s="27"/>
      <c r="E895" s="27"/>
      <c r="F895" s="27"/>
      <c r="G895" s="27"/>
      <c r="H895" s="27"/>
      <c r="I895" s="27"/>
      <c r="J895" s="27"/>
      <c r="K895" s="27"/>
      <c r="L895" s="27"/>
    </row>
    <row r="896" spans="1:12" ht="15" thickBot="1" x14ac:dyDescent="0.35">
      <c r="A896" s="27"/>
      <c r="B896" s="27"/>
      <c r="C896" s="27"/>
      <c r="D896" s="27"/>
      <c r="E896" s="27"/>
      <c r="F896" s="27"/>
      <c r="G896" s="27"/>
      <c r="H896" s="27"/>
      <c r="I896" s="27"/>
      <c r="J896" s="27"/>
      <c r="K896" s="27"/>
      <c r="L896" s="27"/>
    </row>
    <row r="897" spans="1:12" ht="15" thickBot="1" x14ac:dyDescent="0.35">
      <c r="A897" s="27"/>
      <c r="B897" s="27"/>
      <c r="C897" s="27"/>
      <c r="D897" s="27"/>
      <c r="E897" s="27"/>
      <c r="F897" s="27"/>
      <c r="G897" s="27"/>
      <c r="H897" s="27"/>
      <c r="I897" s="27"/>
      <c r="J897" s="27"/>
      <c r="K897" s="27"/>
      <c r="L897" s="27"/>
    </row>
    <row r="898" spans="1:12" ht="15" thickBot="1" x14ac:dyDescent="0.35">
      <c r="A898" s="27"/>
      <c r="B898" s="27"/>
      <c r="C898" s="27"/>
      <c r="D898" s="27"/>
      <c r="E898" s="27"/>
      <c r="F898" s="27"/>
      <c r="G898" s="27"/>
      <c r="H898" s="27"/>
      <c r="I898" s="27"/>
      <c r="J898" s="27"/>
      <c r="K898" s="27"/>
      <c r="L898" s="27"/>
    </row>
    <row r="899" spans="1:12" ht="15" thickBot="1" x14ac:dyDescent="0.35">
      <c r="A899" s="27"/>
      <c r="B899" s="27"/>
      <c r="C899" s="27"/>
      <c r="D899" s="27"/>
      <c r="E899" s="27"/>
      <c r="F899" s="27"/>
      <c r="G899" s="27"/>
      <c r="H899" s="27"/>
      <c r="I899" s="27"/>
      <c r="J899" s="27"/>
      <c r="K899" s="27"/>
      <c r="L899" s="27"/>
    </row>
    <row r="900" spans="1:12" ht="15" thickBot="1" x14ac:dyDescent="0.35">
      <c r="A900" s="27"/>
      <c r="B900" s="27"/>
      <c r="C900" s="27"/>
      <c r="D900" s="27"/>
      <c r="E900" s="27"/>
      <c r="F900" s="27"/>
      <c r="G900" s="27"/>
      <c r="H900" s="27"/>
      <c r="I900" s="27"/>
      <c r="J900" s="27"/>
      <c r="K900" s="27"/>
      <c r="L900" s="27"/>
    </row>
    <row r="901" spans="1:12" ht="15" thickBot="1" x14ac:dyDescent="0.35">
      <c r="A901" s="27"/>
      <c r="B901" s="27"/>
      <c r="C901" s="27"/>
      <c r="D901" s="27"/>
      <c r="E901" s="27"/>
      <c r="F901" s="27"/>
      <c r="G901" s="27"/>
      <c r="H901" s="27"/>
      <c r="I901" s="27"/>
      <c r="J901" s="27"/>
      <c r="K901" s="27"/>
      <c r="L901" s="27"/>
    </row>
    <row r="902" spans="1:12" ht="15" thickBot="1" x14ac:dyDescent="0.35">
      <c r="A902" s="27"/>
      <c r="B902" s="27"/>
      <c r="C902" s="27"/>
      <c r="D902" s="27"/>
      <c r="E902" s="27"/>
      <c r="F902" s="27"/>
      <c r="G902" s="27"/>
      <c r="H902" s="27"/>
      <c r="I902" s="27"/>
      <c r="J902" s="27"/>
      <c r="K902" s="27"/>
      <c r="L902" s="27"/>
    </row>
    <row r="903" spans="1:12" ht="15" thickBot="1" x14ac:dyDescent="0.35">
      <c r="A903" s="27"/>
      <c r="B903" s="27"/>
      <c r="C903" s="27"/>
      <c r="D903" s="27"/>
      <c r="E903" s="27"/>
      <c r="F903" s="27"/>
      <c r="G903" s="27"/>
      <c r="H903" s="27"/>
      <c r="I903" s="27"/>
      <c r="J903" s="27"/>
      <c r="K903" s="27"/>
      <c r="L903" s="27"/>
    </row>
    <row r="904" spans="1:12" ht="15" thickBot="1" x14ac:dyDescent="0.35">
      <c r="A904" s="27"/>
      <c r="B904" s="27"/>
      <c r="C904" s="27"/>
      <c r="D904" s="27"/>
      <c r="E904" s="27"/>
      <c r="F904" s="27"/>
      <c r="G904" s="27"/>
      <c r="H904" s="27"/>
      <c r="I904" s="27"/>
      <c r="J904" s="27"/>
      <c r="K904" s="27"/>
      <c r="L904" s="27"/>
    </row>
    <row r="905" spans="1:12" ht="15" thickBot="1" x14ac:dyDescent="0.35">
      <c r="A905" s="27"/>
      <c r="B905" s="27"/>
      <c r="C905" s="27"/>
      <c r="D905" s="27"/>
      <c r="E905" s="27"/>
      <c r="F905" s="27"/>
      <c r="G905" s="27"/>
      <c r="H905" s="27"/>
      <c r="I905" s="27"/>
      <c r="J905" s="27"/>
      <c r="K905" s="27"/>
      <c r="L905" s="27"/>
    </row>
    <row r="906" spans="1:12" ht="15" thickBot="1" x14ac:dyDescent="0.35">
      <c r="A906" s="27"/>
      <c r="B906" s="27"/>
      <c r="C906" s="27"/>
      <c r="D906" s="27"/>
      <c r="E906" s="27"/>
      <c r="F906" s="27"/>
      <c r="G906" s="27"/>
      <c r="H906" s="27"/>
      <c r="I906" s="27"/>
      <c r="J906" s="27"/>
      <c r="K906" s="27"/>
      <c r="L906" s="27"/>
    </row>
    <row r="907" spans="1:12" ht="15" thickBot="1" x14ac:dyDescent="0.35">
      <c r="A907" s="27"/>
      <c r="B907" s="27"/>
      <c r="C907" s="27"/>
      <c r="D907" s="27"/>
      <c r="E907" s="27"/>
      <c r="F907" s="27"/>
      <c r="G907" s="27"/>
      <c r="H907" s="27"/>
      <c r="I907" s="27"/>
      <c r="J907" s="27"/>
      <c r="K907" s="27"/>
      <c r="L907" s="27"/>
    </row>
    <row r="908" spans="1:12" ht="15" thickBot="1" x14ac:dyDescent="0.35">
      <c r="A908" s="27"/>
      <c r="B908" s="27"/>
      <c r="C908" s="27"/>
      <c r="D908" s="27"/>
      <c r="E908" s="27"/>
      <c r="F908" s="27"/>
      <c r="G908" s="27"/>
      <c r="H908" s="27"/>
      <c r="I908" s="27"/>
      <c r="J908" s="27"/>
      <c r="K908" s="27"/>
      <c r="L908" s="27"/>
    </row>
    <row r="909" spans="1:12" ht="15" thickBot="1" x14ac:dyDescent="0.35">
      <c r="A909" s="27"/>
      <c r="B909" s="27"/>
      <c r="C909" s="27"/>
      <c r="D909" s="27"/>
      <c r="E909" s="27"/>
      <c r="F909" s="27"/>
      <c r="G909" s="27"/>
      <c r="H909" s="27"/>
      <c r="I909" s="27"/>
      <c r="J909" s="27"/>
      <c r="K909" s="27"/>
      <c r="L909" s="27"/>
    </row>
    <row r="910" spans="1:12" ht="15" thickBot="1" x14ac:dyDescent="0.35">
      <c r="A910" s="27"/>
      <c r="B910" s="27"/>
      <c r="C910" s="27"/>
      <c r="D910" s="27"/>
      <c r="E910" s="27"/>
      <c r="F910" s="27"/>
      <c r="G910" s="27"/>
      <c r="H910" s="27"/>
      <c r="I910" s="27"/>
      <c r="J910" s="27"/>
      <c r="K910" s="27"/>
      <c r="L910" s="27"/>
    </row>
    <row r="911" spans="1:12" ht="15" thickBot="1" x14ac:dyDescent="0.35">
      <c r="A911" s="27"/>
      <c r="B911" s="27"/>
      <c r="C911" s="27"/>
      <c r="D911" s="27"/>
      <c r="E911" s="27"/>
      <c r="F911" s="27"/>
      <c r="G911" s="27"/>
      <c r="H911" s="27"/>
      <c r="I911" s="27"/>
      <c r="J911" s="27"/>
      <c r="K911" s="27"/>
      <c r="L911" s="27"/>
    </row>
    <row r="912" spans="1:12" ht="15" thickBot="1" x14ac:dyDescent="0.35">
      <c r="A912" s="27"/>
      <c r="B912" s="27"/>
      <c r="C912" s="27"/>
      <c r="D912" s="27"/>
      <c r="E912" s="27"/>
      <c r="F912" s="27"/>
      <c r="G912" s="27"/>
      <c r="H912" s="27"/>
      <c r="I912" s="27"/>
      <c r="J912" s="27"/>
      <c r="K912" s="27"/>
      <c r="L912" s="27"/>
    </row>
    <row r="913" spans="1:12" ht="15" thickBot="1" x14ac:dyDescent="0.35">
      <c r="A913" s="27"/>
      <c r="B913" s="27"/>
      <c r="C913" s="27"/>
      <c r="D913" s="27"/>
      <c r="E913" s="27"/>
      <c r="F913" s="27"/>
      <c r="G913" s="27"/>
      <c r="H913" s="27"/>
      <c r="I913" s="27"/>
      <c r="J913" s="27"/>
      <c r="K913" s="27"/>
      <c r="L913" s="27"/>
    </row>
    <row r="914" spans="1:12" ht="15" thickBot="1" x14ac:dyDescent="0.35">
      <c r="A914" s="27"/>
      <c r="B914" s="27"/>
      <c r="C914" s="27"/>
      <c r="D914" s="27"/>
      <c r="E914" s="27"/>
      <c r="F914" s="27"/>
      <c r="G914" s="27"/>
      <c r="H914" s="27"/>
      <c r="I914" s="27"/>
      <c r="J914" s="27"/>
      <c r="K914" s="27"/>
      <c r="L914" s="27"/>
    </row>
    <row r="915" spans="1:12" ht="15" thickBot="1" x14ac:dyDescent="0.35">
      <c r="A915" s="27"/>
      <c r="B915" s="27"/>
      <c r="C915" s="27"/>
      <c r="D915" s="27"/>
      <c r="E915" s="27"/>
      <c r="F915" s="27"/>
      <c r="G915" s="27"/>
      <c r="H915" s="27"/>
      <c r="I915" s="27"/>
      <c r="J915" s="27"/>
      <c r="K915" s="27"/>
      <c r="L915" s="27"/>
    </row>
    <row r="916" spans="1:12" ht="15" thickBot="1" x14ac:dyDescent="0.35">
      <c r="A916" s="27"/>
      <c r="B916" s="27"/>
      <c r="C916" s="27"/>
      <c r="D916" s="27"/>
      <c r="E916" s="27"/>
      <c r="F916" s="27"/>
      <c r="G916" s="27"/>
      <c r="H916" s="27"/>
      <c r="I916" s="27"/>
      <c r="J916" s="27"/>
      <c r="K916" s="27"/>
      <c r="L916" s="27"/>
    </row>
    <row r="917" spans="1:12" ht="15" thickBot="1" x14ac:dyDescent="0.35">
      <c r="A917" s="27"/>
      <c r="B917" s="27"/>
      <c r="C917" s="27"/>
      <c r="D917" s="27"/>
      <c r="E917" s="27"/>
      <c r="F917" s="27"/>
      <c r="G917" s="27"/>
      <c r="H917" s="27"/>
      <c r="I917" s="27"/>
      <c r="J917" s="27"/>
      <c r="K917" s="27"/>
      <c r="L917" s="27"/>
    </row>
    <row r="918" spans="1:12" ht="15" thickBot="1" x14ac:dyDescent="0.35">
      <c r="A918" s="27"/>
      <c r="B918" s="27"/>
      <c r="C918" s="27"/>
      <c r="D918" s="27"/>
      <c r="E918" s="27"/>
      <c r="F918" s="27"/>
      <c r="G918" s="27"/>
      <c r="H918" s="27"/>
      <c r="I918" s="27"/>
      <c r="J918" s="27"/>
      <c r="K918" s="27"/>
      <c r="L918" s="27"/>
    </row>
    <row r="919" spans="1:12" ht="15" thickBot="1" x14ac:dyDescent="0.35">
      <c r="A919" s="27"/>
      <c r="B919" s="27"/>
      <c r="C919" s="27"/>
      <c r="D919" s="27"/>
      <c r="E919" s="27"/>
      <c r="F919" s="27"/>
      <c r="G919" s="27"/>
      <c r="H919" s="27"/>
      <c r="I919" s="27"/>
      <c r="J919" s="27"/>
      <c r="K919" s="27"/>
      <c r="L919" s="27"/>
    </row>
    <row r="920" spans="1:12" ht="15" thickBot="1" x14ac:dyDescent="0.35">
      <c r="A920" s="27"/>
      <c r="B920" s="27"/>
      <c r="C920" s="27"/>
      <c r="D920" s="27"/>
      <c r="E920" s="27"/>
      <c r="F920" s="27"/>
      <c r="G920" s="27"/>
      <c r="H920" s="27"/>
      <c r="I920" s="27"/>
      <c r="J920" s="27"/>
      <c r="K920" s="27"/>
      <c r="L920" s="27"/>
    </row>
    <row r="921" spans="1:12" ht="15" thickBot="1" x14ac:dyDescent="0.35">
      <c r="A921" s="27"/>
      <c r="B921" s="27"/>
      <c r="C921" s="27"/>
      <c r="D921" s="27"/>
      <c r="E921" s="27"/>
      <c r="F921" s="27"/>
      <c r="G921" s="27"/>
      <c r="H921" s="27"/>
      <c r="I921" s="27"/>
      <c r="J921" s="27"/>
      <c r="K921" s="27"/>
      <c r="L921" s="27"/>
    </row>
    <row r="922" spans="1:12" ht="15" thickBot="1" x14ac:dyDescent="0.35">
      <c r="A922" s="27"/>
      <c r="B922" s="27"/>
      <c r="C922" s="27"/>
      <c r="D922" s="27"/>
      <c r="E922" s="27"/>
      <c r="F922" s="27"/>
      <c r="G922" s="27"/>
      <c r="H922" s="27"/>
      <c r="I922" s="27"/>
      <c r="J922" s="27"/>
      <c r="K922" s="27"/>
      <c r="L922" s="27"/>
    </row>
    <row r="923" spans="1:12" ht="15" thickBot="1" x14ac:dyDescent="0.35">
      <c r="A923" s="27"/>
      <c r="B923" s="27"/>
      <c r="C923" s="27"/>
      <c r="D923" s="27"/>
      <c r="E923" s="27"/>
      <c r="F923" s="27"/>
      <c r="G923" s="27"/>
      <c r="H923" s="27"/>
      <c r="I923" s="27"/>
      <c r="J923" s="27"/>
      <c r="K923" s="27"/>
      <c r="L923" s="27"/>
    </row>
    <row r="924" spans="1:12" ht="15" thickBot="1" x14ac:dyDescent="0.35">
      <c r="A924" s="27"/>
      <c r="B924" s="27"/>
      <c r="C924" s="27"/>
      <c r="D924" s="27"/>
      <c r="E924" s="27"/>
      <c r="F924" s="27"/>
      <c r="G924" s="27"/>
      <c r="H924" s="27"/>
      <c r="I924" s="27"/>
      <c r="J924" s="27"/>
      <c r="K924" s="27"/>
      <c r="L924" s="27"/>
    </row>
    <row r="925" spans="1:12" ht="15" thickBot="1" x14ac:dyDescent="0.35">
      <c r="A925" s="27"/>
      <c r="B925" s="27"/>
      <c r="C925" s="27"/>
      <c r="D925" s="27"/>
      <c r="E925" s="27"/>
      <c r="F925" s="27"/>
      <c r="G925" s="27"/>
      <c r="H925" s="27"/>
      <c r="I925" s="27"/>
      <c r="J925" s="27"/>
      <c r="K925" s="27"/>
      <c r="L925" s="27"/>
    </row>
    <row r="926" spans="1:12" ht="15" thickBot="1" x14ac:dyDescent="0.35">
      <c r="A926" s="27"/>
      <c r="B926" s="27"/>
      <c r="C926" s="27"/>
      <c r="D926" s="27"/>
      <c r="E926" s="27"/>
      <c r="F926" s="27"/>
      <c r="G926" s="27"/>
      <c r="H926" s="27"/>
      <c r="I926" s="27"/>
      <c r="J926" s="27"/>
      <c r="K926" s="27"/>
      <c r="L926" s="27"/>
    </row>
    <row r="927" spans="1:12" ht="15" thickBot="1" x14ac:dyDescent="0.35">
      <c r="A927" s="27"/>
      <c r="B927" s="27"/>
      <c r="C927" s="27"/>
      <c r="D927" s="27"/>
      <c r="E927" s="27"/>
      <c r="F927" s="27"/>
      <c r="G927" s="27"/>
      <c r="H927" s="27"/>
      <c r="I927" s="27"/>
      <c r="J927" s="27"/>
      <c r="K927" s="27"/>
      <c r="L927" s="27"/>
    </row>
    <row r="928" spans="1:12" ht="15" thickBot="1" x14ac:dyDescent="0.35">
      <c r="A928" s="27"/>
      <c r="B928" s="27"/>
      <c r="C928" s="27"/>
      <c r="D928" s="27"/>
      <c r="E928" s="27"/>
      <c r="F928" s="27"/>
      <c r="G928" s="27"/>
      <c r="H928" s="27"/>
      <c r="I928" s="27"/>
      <c r="J928" s="27"/>
      <c r="K928" s="27"/>
      <c r="L928" s="27"/>
    </row>
    <row r="929" spans="1:12" ht="15" thickBot="1" x14ac:dyDescent="0.35">
      <c r="A929" s="27"/>
      <c r="B929" s="27"/>
      <c r="C929" s="27"/>
      <c r="D929" s="27"/>
      <c r="E929" s="27"/>
      <c r="F929" s="27"/>
      <c r="G929" s="27"/>
      <c r="H929" s="27"/>
      <c r="I929" s="27"/>
      <c r="J929" s="27"/>
      <c r="K929" s="27"/>
      <c r="L929" s="27"/>
    </row>
    <row r="930" spans="1:12" ht="15" thickBot="1" x14ac:dyDescent="0.35">
      <c r="A930" s="27"/>
      <c r="B930" s="27"/>
      <c r="C930" s="27"/>
      <c r="D930" s="27"/>
      <c r="E930" s="27"/>
      <c r="F930" s="27"/>
      <c r="G930" s="27"/>
      <c r="H930" s="27"/>
      <c r="I930" s="27"/>
      <c r="J930" s="27"/>
      <c r="K930" s="27"/>
      <c r="L930" s="27"/>
    </row>
    <row r="931" spans="1:12" ht="15" thickBot="1" x14ac:dyDescent="0.35">
      <c r="A931" s="27"/>
      <c r="B931" s="27"/>
      <c r="C931" s="27"/>
      <c r="D931" s="27"/>
      <c r="E931" s="27"/>
      <c r="F931" s="27"/>
      <c r="G931" s="27"/>
      <c r="H931" s="27"/>
      <c r="I931" s="27"/>
      <c r="J931" s="27"/>
      <c r="K931" s="27"/>
      <c r="L931" s="27"/>
    </row>
    <row r="932" spans="1:12" ht="15" thickBot="1" x14ac:dyDescent="0.35">
      <c r="A932" s="27"/>
      <c r="B932" s="27"/>
      <c r="C932" s="27"/>
      <c r="D932" s="27"/>
      <c r="E932" s="27"/>
      <c r="F932" s="27"/>
      <c r="G932" s="27"/>
      <c r="H932" s="27"/>
      <c r="I932" s="27"/>
      <c r="J932" s="27"/>
      <c r="K932" s="27"/>
      <c r="L932" s="27"/>
    </row>
    <row r="933" spans="1:12" ht="15" thickBot="1" x14ac:dyDescent="0.35">
      <c r="A933" s="27"/>
      <c r="B933" s="27"/>
      <c r="C933" s="27"/>
      <c r="D933" s="27"/>
      <c r="E933" s="27"/>
      <c r="F933" s="27"/>
      <c r="G933" s="27"/>
      <c r="H933" s="27"/>
      <c r="I933" s="27"/>
      <c r="J933" s="27"/>
      <c r="K933" s="27"/>
      <c r="L933" s="27"/>
    </row>
    <row r="934" spans="1:12" ht="15" thickBot="1" x14ac:dyDescent="0.35">
      <c r="A934" s="27"/>
      <c r="B934" s="27"/>
      <c r="C934" s="27"/>
      <c r="D934" s="27"/>
      <c r="E934" s="27"/>
      <c r="F934" s="27"/>
      <c r="G934" s="27"/>
      <c r="H934" s="27"/>
      <c r="I934" s="27"/>
      <c r="J934" s="27"/>
      <c r="K934" s="27"/>
      <c r="L934" s="27"/>
    </row>
    <row r="935" spans="1:12" ht="15" thickBot="1" x14ac:dyDescent="0.35">
      <c r="A935" s="27"/>
      <c r="B935" s="27"/>
      <c r="C935" s="27"/>
      <c r="D935" s="27"/>
      <c r="E935" s="27"/>
      <c r="F935" s="27"/>
      <c r="G935" s="27"/>
      <c r="H935" s="27"/>
      <c r="I935" s="27"/>
      <c r="J935" s="27"/>
      <c r="K935" s="27"/>
      <c r="L935" s="27"/>
    </row>
    <row r="936" spans="1:12" ht="15" thickBot="1" x14ac:dyDescent="0.35">
      <c r="A936" s="27"/>
      <c r="B936" s="27"/>
      <c r="C936" s="27"/>
      <c r="D936" s="27"/>
      <c r="E936" s="27"/>
      <c r="F936" s="27"/>
      <c r="G936" s="27"/>
      <c r="H936" s="27"/>
      <c r="I936" s="27"/>
      <c r="J936" s="27"/>
      <c r="K936" s="27"/>
      <c r="L936" s="27"/>
    </row>
    <row r="937" spans="1:12" ht="15" thickBot="1" x14ac:dyDescent="0.35">
      <c r="A937" s="27"/>
      <c r="B937" s="27"/>
      <c r="C937" s="27"/>
      <c r="D937" s="27"/>
      <c r="E937" s="27"/>
      <c r="F937" s="27"/>
      <c r="G937" s="27"/>
      <c r="H937" s="27"/>
      <c r="I937" s="27"/>
      <c r="J937" s="27"/>
      <c r="K937" s="27"/>
      <c r="L937" s="27"/>
    </row>
    <row r="938" spans="1:12" ht="15" thickBot="1" x14ac:dyDescent="0.35">
      <c r="A938" s="27"/>
      <c r="B938" s="27"/>
      <c r="C938" s="27"/>
      <c r="D938" s="27"/>
      <c r="E938" s="27"/>
      <c r="F938" s="27"/>
      <c r="G938" s="27"/>
      <c r="H938" s="27"/>
      <c r="I938" s="27"/>
      <c r="J938" s="27"/>
      <c r="K938" s="27"/>
      <c r="L938" s="27"/>
    </row>
    <row r="939" spans="1:12" ht="15" thickBot="1" x14ac:dyDescent="0.35">
      <c r="A939" s="27"/>
      <c r="B939" s="27"/>
      <c r="C939" s="27"/>
      <c r="D939" s="27"/>
      <c r="E939" s="27"/>
      <c r="F939" s="27"/>
      <c r="G939" s="27"/>
      <c r="H939" s="27"/>
      <c r="I939" s="27"/>
      <c r="J939" s="27"/>
      <c r="K939" s="27"/>
      <c r="L939" s="27"/>
    </row>
    <row r="940" spans="1:12" ht="15" thickBot="1" x14ac:dyDescent="0.35">
      <c r="A940" s="27"/>
      <c r="B940" s="27"/>
      <c r="C940" s="27"/>
      <c r="D940" s="27"/>
      <c r="E940" s="27"/>
      <c r="F940" s="27"/>
      <c r="G940" s="27"/>
      <c r="H940" s="27"/>
      <c r="I940" s="27"/>
      <c r="J940" s="27"/>
      <c r="K940" s="27"/>
      <c r="L940" s="27"/>
    </row>
    <row r="941" spans="1:12" ht="15" thickBot="1" x14ac:dyDescent="0.35">
      <c r="A941" s="27"/>
      <c r="B941" s="27"/>
      <c r="C941" s="27"/>
      <c r="D941" s="27"/>
      <c r="E941" s="27"/>
      <c r="F941" s="27"/>
      <c r="G941" s="27"/>
      <c r="H941" s="27"/>
      <c r="I941" s="27"/>
      <c r="J941" s="27"/>
      <c r="K941" s="27"/>
      <c r="L941" s="27"/>
    </row>
    <row r="942" spans="1:12" ht="15" thickBot="1" x14ac:dyDescent="0.35">
      <c r="A942" s="27"/>
      <c r="B942" s="27"/>
      <c r="C942" s="27"/>
      <c r="D942" s="27"/>
      <c r="E942" s="27"/>
      <c r="F942" s="27"/>
      <c r="G942" s="27"/>
      <c r="H942" s="27"/>
      <c r="I942" s="27"/>
      <c r="J942" s="27"/>
      <c r="K942" s="27"/>
      <c r="L942" s="27"/>
    </row>
    <row r="943" spans="1:12" ht="15" thickBot="1" x14ac:dyDescent="0.35">
      <c r="A943" s="27"/>
      <c r="B943" s="27"/>
      <c r="C943" s="27"/>
      <c r="D943" s="27"/>
      <c r="E943" s="27"/>
      <c r="F943" s="27"/>
      <c r="G943" s="27"/>
      <c r="H943" s="27"/>
      <c r="I943" s="27"/>
      <c r="J943" s="27"/>
      <c r="K943" s="27"/>
      <c r="L943" s="27"/>
    </row>
    <row r="944" spans="1:12" ht="15" thickBot="1" x14ac:dyDescent="0.35">
      <c r="A944" s="27"/>
      <c r="B944" s="27"/>
      <c r="C944" s="27"/>
      <c r="D944" s="27"/>
      <c r="E944" s="27"/>
      <c r="F944" s="27"/>
      <c r="G944" s="27"/>
      <c r="H944" s="27"/>
      <c r="I944" s="27"/>
      <c r="J944" s="27"/>
      <c r="K944" s="27"/>
      <c r="L944" s="27"/>
    </row>
    <row r="945" spans="1:12" ht="15" thickBot="1" x14ac:dyDescent="0.35">
      <c r="A945" s="27"/>
      <c r="B945" s="27"/>
      <c r="C945" s="27"/>
      <c r="D945" s="27"/>
      <c r="E945" s="27"/>
      <c r="F945" s="27"/>
      <c r="G945" s="27"/>
      <c r="H945" s="27"/>
      <c r="I945" s="27"/>
      <c r="J945" s="27"/>
      <c r="K945" s="27"/>
      <c r="L945" s="27"/>
    </row>
    <row r="946" spans="1:12" ht="15" thickBot="1" x14ac:dyDescent="0.35">
      <c r="A946" s="27"/>
      <c r="B946" s="27"/>
      <c r="C946" s="27"/>
      <c r="D946" s="27"/>
      <c r="E946" s="27"/>
      <c r="F946" s="27"/>
      <c r="G946" s="27"/>
      <c r="H946" s="27"/>
      <c r="I946" s="27"/>
      <c r="J946" s="27"/>
      <c r="K946" s="27"/>
      <c r="L946" s="27"/>
    </row>
    <row r="947" spans="1:12" ht="15" thickBot="1" x14ac:dyDescent="0.35">
      <c r="A947" s="27"/>
      <c r="B947" s="27"/>
      <c r="C947" s="27"/>
      <c r="D947" s="27"/>
      <c r="E947" s="27"/>
      <c r="F947" s="27"/>
      <c r="G947" s="27"/>
      <c r="H947" s="27"/>
      <c r="I947" s="27"/>
      <c r="J947" s="27"/>
      <c r="K947" s="27"/>
      <c r="L947" s="27"/>
    </row>
    <row r="948" spans="1:12" ht="15" thickBot="1" x14ac:dyDescent="0.35">
      <c r="A948" s="27"/>
      <c r="B948" s="27"/>
      <c r="C948" s="27"/>
      <c r="D948" s="27"/>
      <c r="E948" s="27"/>
      <c r="F948" s="27"/>
      <c r="G948" s="27"/>
      <c r="H948" s="27"/>
      <c r="I948" s="27"/>
      <c r="J948" s="27"/>
      <c r="K948" s="27"/>
      <c r="L948" s="27"/>
    </row>
    <row r="949" spans="1:12" ht="15" thickBot="1" x14ac:dyDescent="0.35">
      <c r="A949" s="27"/>
      <c r="B949" s="27"/>
      <c r="C949" s="27"/>
      <c r="D949" s="27"/>
      <c r="E949" s="27"/>
      <c r="F949" s="27"/>
      <c r="G949" s="27"/>
      <c r="H949" s="27"/>
      <c r="I949" s="27"/>
      <c r="J949" s="27"/>
      <c r="K949" s="27"/>
      <c r="L949" s="27"/>
    </row>
    <row r="950" spans="1:12" ht="15" thickBot="1" x14ac:dyDescent="0.35">
      <c r="A950" s="27"/>
      <c r="B950" s="27"/>
      <c r="C950" s="27"/>
      <c r="D950" s="27"/>
      <c r="E950" s="27"/>
      <c r="F950" s="27"/>
      <c r="G950" s="27"/>
      <c r="H950" s="27"/>
      <c r="I950" s="27"/>
      <c r="J950" s="27"/>
      <c r="K950" s="27"/>
      <c r="L950" s="27"/>
    </row>
    <row r="951" spans="1:12" ht="15" thickBot="1" x14ac:dyDescent="0.35">
      <c r="A951" s="27"/>
      <c r="B951" s="27"/>
      <c r="C951" s="27"/>
      <c r="D951" s="27"/>
      <c r="E951" s="27"/>
      <c r="F951" s="27"/>
      <c r="G951" s="27"/>
      <c r="H951" s="27"/>
      <c r="I951" s="27"/>
      <c r="J951" s="27"/>
      <c r="K951" s="27"/>
      <c r="L951" s="27"/>
    </row>
    <row r="952" spans="1:12" ht="15" thickBot="1" x14ac:dyDescent="0.35">
      <c r="A952" s="27"/>
      <c r="B952" s="27"/>
      <c r="C952" s="27"/>
      <c r="D952" s="27"/>
      <c r="E952" s="27"/>
      <c r="F952" s="27"/>
      <c r="G952" s="27"/>
      <c r="H952" s="27"/>
      <c r="I952" s="27"/>
      <c r="J952" s="27"/>
      <c r="K952" s="27"/>
      <c r="L952" s="27"/>
    </row>
    <row r="953" spans="1:12" ht="15" thickBot="1" x14ac:dyDescent="0.35">
      <c r="A953" s="27"/>
      <c r="B953" s="27"/>
      <c r="C953" s="27"/>
      <c r="D953" s="27"/>
      <c r="E953" s="27"/>
      <c r="F953" s="27"/>
      <c r="G953" s="27"/>
      <c r="H953" s="27"/>
      <c r="I953" s="27"/>
      <c r="J953" s="27"/>
      <c r="K953" s="27"/>
      <c r="L953" s="27"/>
    </row>
    <row r="954" spans="1:12" ht="15" thickBot="1" x14ac:dyDescent="0.35">
      <c r="A954" s="27"/>
      <c r="B954" s="27"/>
      <c r="C954" s="27"/>
      <c r="D954" s="27"/>
      <c r="E954" s="27"/>
      <c r="F954" s="27"/>
      <c r="G954" s="27"/>
      <c r="H954" s="27"/>
      <c r="I954" s="27"/>
      <c r="J954" s="27"/>
      <c r="K954" s="27"/>
      <c r="L954" s="27"/>
    </row>
    <row r="955" spans="1:12" ht="15" thickBot="1" x14ac:dyDescent="0.35">
      <c r="A955" s="27"/>
      <c r="B955" s="27"/>
      <c r="C955" s="27"/>
      <c r="D955" s="27"/>
      <c r="E955" s="27"/>
      <c r="F955" s="27"/>
      <c r="G955" s="27"/>
      <c r="H955" s="27"/>
      <c r="I955" s="27"/>
      <c r="J955" s="27"/>
      <c r="K955" s="27"/>
      <c r="L955" s="27"/>
    </row>
    <row r="956" spans="1:12" ht="15" thickBot="1" x14ac:dyDescent="0.35">
      <c r="A956" s="27"/>
      <c r="B956" s="27"/>
      <c r="C956" s="27"/>
      <c r="D956" s="27"/>
      <c r="E956" s="27"/>
      <c r="F956" s="27"/>
      <c r="G956" s="27"/>
      <c r="H956" s="27"/>
      <c r="I956" s="27"/>
      <c r="J956" s="27"/>
      <c r="K956" s="27"/>
      <c r="L956" s="27"/>
    </row>
    <row r="957" spans="1:12" ht="15" thickBot="1" x14ac:dyDescent="0.35">
      <c r="A957" s="27"/>
      <c r="B957" s="27"/>
      <c r="C957" s="27"/>
      <c r="D957" s="27"/>
      <c r="E957" s="27"/>
      <c r="F957" s="27"/>
      <c r="G957" s="27"/>
      <c r="H957" s="27"/>
      <c r="I957" s="27"/>
      <c r="J957" s="27"/>
      <c r="K957" s="27"/>
      <c r="L957" s="27"/>
    </row>
  </sheetData>
  <autoFilter ref="A1:L1" xr:uid="{926B0DCB-4E88-4B20-9D13-D073C0F6040D}">
    <sortState xmlns:xlrd2="http://schemas.microsoft.com/office/spreadsheetml/2017/richdata2" ref="A2:L521">
      <sortCondition descending="1" ref="B1"/>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PROJECT BACK HECTORY</vt:lpstr>
      <vt:lpstr>Alart Back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elsherbiny</dc:creator>
  <cp:lastModifiedBy>ahmed elsherbiny</cp:lastModifiedBy>
  <dcterms:created xsi:type="dcterms:W3CDTF">2015-06-05T18:17:20Z</dcterms:created>
  <dcterms:modified xsi:type="dcterms:W3CDTF">2026-09-08T12:41:40Z</dcterms:modified>
</cp:coreProperties>
</file>