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hmed Elsherbiny\AI PROJECTS\APPs PROJECTS\FOLLOW-UP APPLICATION OVERSEAS ONLINE DASHBOARD\chair man map assets\"/>
    </mc:Choice>
  </mc:AlternateContent>
  <xr:revisionPtr revIDLastSave="0" documentId="13_ncr:1_{14ED219B-868F-4D4A-83F5-2688C16763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3" l="1"/>
  <c r="F13" i="3"/>
  <c r="E13" i="3"/>
  <c r="D13" i="3"/>
</calcChain>
</file>

<file path=xl/sharedStrings.xml><?xml version="1.0" encoding="utf-8"?>
<sst xmlns="http://schemas.openxmlformats.org/spreadsheetml/2006/main" count="66" uniqueCount="54">
  <si>
    <t>إجمالي قيمة مستحقات مقاولي الباطن</t>
  </si>
  <si>
    <t>#</t>
  </si>
  <si>
    <t>السؤال</t>
  </si>
  <si>
    <t>Answer Weighting Matrix</t>
  </si>
  <si>
    <t>موقف المطالبات والتحكيم</t>
  </si>
  <si>
    <t>ما مدى دقة مقايسة المشروع؟</t>
  </si>
  <si>
    <t>الإجمالي</t>
  </si>
  <si>
    <t>المرحلة</t>
  </si>
  <si>
    <t>سبب الوزن</t>
  </si>
  <si>
    <t>ختام المشروع</t>
  </si>
  <si>
    <t>بند تعاقدي مؤثر جدًا على الإغلاق النهائي للمشروع.</t>
  </si>
  <si>
    <t>هل يوجد مقايسة للمشروع (BOQ)؟</t>
  </si>
  <si>
    <t>بداية المشروع</t>
  </si>
  <si>
    <t>بند تأسيسي مهم، لكن تأثيره أقل من بنود التنفيذ والختام.</t>
  </si>
  <si>
    <t>دقة المقايسة تؤثر على التكلفة والتخطيط والتوريدات.</t>
  </si>
  <si>
    <t>من المتطلبات التعاقدية الأساسية عند بداية المشروع.</t>
  </si>
  <si>
    <t>في حالة ثبوت عدم القدرة علي البدء هل تم الاجتماع مع العميل خلال 15 يوم من استلام أمر الاسناد/خطاب النوايا لعرض المعوقات الموجودة بالمشروع؟</t>
  </si>
  <si>
    <t>إجراء مهم لحماية موقف المشروع، لكنه مرتبط بمرحلة البداية فقط.</t>
  </si>
  <si>
    <t>في حالة ثبوت عدم القدرة علي البدء هل تم ارسال خطاب رسمي للعميل موضحاَ عدم القدرة علي البدء ومتضمناَ المعوقات؟</t>
  </si>
  <si>
    <t>التوثيق الرسمي يحفظ موقف الشركة تعاقديًا.</t>
  </si>
  <si>
    <t>هل تم إعداد برنامج للتوريدات (خامات / مهمات) مستوفي مراحل الشراء بداية من (طلب الشراء انتهاء بالتوريد في الموقع)؟</t>
  </si>
  <si>
    <t>تنفيذ المشروع</t>
  </si>
  <si>
    <t>التوريدات عنصر مباشر في تقدم التنفيذ وعدم تعطله.</t>
  </si>
  <si>
    <t>هل تم إعتماد جميع مهام الكهروميكانيك سواء المحلية أو المستوردة؟</t>
  </si>
  <si>
    <t>الاعتمادات المتأخرة قد تسبب تأخيرًا مباشرًا بالمشروع.</t>
  </si>
  <si>
    <t>هل تم إعداد برنامج تدفقات نقدية للمشروع وتم مراجعته مع مدير الشئون الفنية والمدير المالي ومدير الإدارة / الفرع؟</t>
  </si>
  <si>
    <t>تنفيذ / مالي</t>
  </si>
  <si>
    <t>التدفقات النقدية من أهم عناصر استمرارية المشروع ماليًا.</t>
  </si>
  <si>
    <t>هل يوجد Negative cashflow ببرنامج التدفقات المالية؟</t>
  </si>
  <si>
    <t>وجود عجز نقدي يمثل من أكبر مخاطر استمرارية المشروع.</t>
  </si>
  <si>
    <t>المستحقات القائمة تؤثر على الإغلاق المالي والتعاقدي للمشروع.</t>
  </si>
  <si>
    <t>هل تم إصدار خطاب ضمان الدفعة المقدمة / خطاب ضمان نهائي / وثيقة التأمين ببدايه المشروع ؟</t>
  </si>
  <si>
    <t xml:space="preserve">Weight </t>
  </si>
  <si>
    <t>دقيقة للغاية = 6
فوق المتوسطة = 4.5
متوسطة = 3
غير دقيقة تمامًا = 0</t>
  </si>
  <si>
    <t>نعم = 5
لا = 0</t>
  </si>
  <si>
    <t>نعم = 10
لا = 0</t>
  </si>
  <si>
    <t>نعم = 12
لا = 0</t>
  </si>
  <si>
    <t>لا توجد قيمة = 10
توجد قيمة = 0</t>
  </si>
  <si>
    <t xml:space="preserve">بدايه المشروع </t>
  </si>
  <si>
    <t xml:space="preserve">نصف المشروع </t>
  </si>
  <si>
    <t>اخر المشروع</t>
  </si>
  <si>
    <t>نعم = 13
لا = 0</t>
  </si>
  <si>
    <t>لا = 15
نعم = 0</t>
  </si>
  <si>
    <t>لا يوجد  = 14
يوجد  = 0</t>
  </si>
  <si>
    <t>نعم = 5
لا = 0
لا يوجد مشاكل تخص القدرة على البدء = 5</t>
  </si>
  <si>
    <t>نعم = 5
لا = 0
لا يوجد مشاكل تخص القدرة على البدء  = 5</t>
  </si>
  <si>
    <t>condition 01
(if q9 is no deactivate q10 and distribute it's percatgae  at other questions equally)</t>
  </si>
  <si>
    <t>new weight  = 16</t>
  </si>
  <si>
    <t>new weight  = 6</t>
  </si>
  <si>
    <t>new weight  = 7</t>
  </si>
  <si>
    <t>new weight  = 12</t>
  </si>
  <si>
    <t>new weight  = 14</t>
  </si>
  <si>
    <t>new weight  = 15</t>
  </si>
  <si>
    <t>new weight 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</si>
</sst>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178"/>
      <scheme val="minor"/>
    </font>
    <font>
      <sz val="14"/>
      <color theme="1"/>
      <name val="Aptos Narrow"/>
      <family val="2"/>
      <charset val="178"/>
      <scheme val="minor"/>
    </font>
    <font>
      <b/>
      <sz val="14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charset val="178"/>
      <scheme val="minor"/>
    </font>
    <font>
      <b/>
      <sz val="14"/>
      <color theme="1"/>
      <name val="Aptos Narrow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9" fontId="1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9" fontId="1" fillId="2" borderId="0" xfId="0" applyNumberFormat="1" applyFont="1" applyFill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numFmt numFmtId="13" formatCode="0%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numFmt numFmtId="13" formatCode="0%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numFmt numFmtId="13" formatCode="0%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numFmt numFmtId="13" formatCode="0%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numFmt numFmtId="13" formatCode="0%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E82AB6-E7D6-4D1C-B0C7-9EAA8BF3FD58}" name="Table1" displayName="Table1" ref="A1:J13" headerRowDxfId="21" dataDxfId="20">
  <tableColumns count="10">
    <tableColumn id="1" xr3:uid="{2138A40A-C870-40D2-B0B0-C7EA3302A373}" name="#" totalsRowLabel="Total" dataDxfId="19" totalsRowDxfId="18"/>
    <tableColumn id="2" xr3:uid="{4BB27873-51F7-49B6-951C-1D034B6562BE}" name="السؤال" dataDxfId="17" totalsRowDxfId="16"/>
    <tableColumn id="3" xr3:uid="{2CE74CF0-78AB-4C82-9365-74001AA1FB29}" name="المرحلة" dataDxfId="15" totalsRowDxfId="14"/>
    <tableColumn id="4" xr3:uid="{5A78A879-B60A-4D4F-AFA2-0628FE668BFC}" name="Weight " dataDxfId="13" totalsRowDxfId="12"/>
    <tableColumn id="7" xr3:uid="{FA394C54-1D4D-400C-A65C-06BDFF93E892}" name="بدايه المشروع " dataDxfId="11" totalsRowDxfId="10"/>
    <tableColumn id="8" xr3:uid="{2E38E876-5C60-4B34-A277-12AF50C12BE8}" name="نصف المشروع " dataDxfId="9" totalsRowDxfId="8"/>
    <tableColumn id="9" xr3:uid="{85EF609C-1595-4DBB-94D1-84E242989150}" name="اخر المشروع" dataDxfId="7" totalsRowDxfId="6"/>
    <tableColumn id="5" xr3:uid="{4F6BC332-1E3B-4448-9707-930F7EB491BB}" name="Answer Weighting Matrix" dataDxfId="5" totalsRowDxfId="4"/>
    <tableColumn id="6" xr3:uid="{CDF071C8-F55F-4EB5-9563-ABFE1739F605}" name="سبب الوزن" totalsRowFunction="count" dataDxfId="3" totalsRowDxfId="2"/>
    <tableColumn id="10" xr3:uid="{86AE8410-A1CA-4FAA-ABC3-24B08A215220}" name="condition 01_x000a_(if q9 is no deactivate q10 and distribute it's percatgae  at other questions equally)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95874-B5CA-4A2D-A667-995C62FBCB21}">
  <sheetPr>
    <pageSetUpPr fitToPage="1"/>
  </sheetPr>
  <dimension ref="A1:J13"/>
  <sheetViews>
    <sheetView rightToLeft="1" tabSelected="1" topLeftCell="E1" zoomScale="60" zoomScaleNormal="60" workbookViewId="0">
      <selection activeCell="I1" sqref="I1"/>
    </sheetView>
  </sheetViews>
  <sheetFormatPr defaultColWidth="46.8984375" defaultRowHeight="13.8"/>
  <cols>
    <col min="1" max="1" width="3.8984375" style="1" bestFit="1" customWidth="1"/>
    <col min="2" max="2" width="46.8984375" style="1"/>
    <col min="3" max="3" width="9.09765625" style="1" customWidth="1"/>
    <col min="4" max="5" width="21.5" style="1" customWidth="1"/>
    <col min="6" max="7" width="43.09765625" style="1" customWidth="1"/>
    <col min="8" max="8" width="46.8984375" style="1" customWidth="1"/>
    <col min="9" max="9" width="46.09765625" style="1" customWidth="1"/>
    <col min="10" max="16384" width="46.8984375" style="1"/>
  </cols>
  <sheetData>
    <row r="1" spans="1:10" ht="69.599999999999994">
      <c r="A1" s="4" t="s">
        <v>1</v>
      </c>
      <c r="B1" s="4" t="s">
        <v>2</v>
      </c>
      <c r="C1" s="4" t="s">
        <v>7</v>
      </c>
      <c r="D1" s="5" t="s">
        <v>32</v>
      </c>
      <c r="E1" s="5" t="s">
        <v>38</v>
      </c>
      <c r="F1" s="5" t="s">
        <v>39</v>
      </c>
      <c r="G1" s="5" t="s">
        <v>40</v>
      </c>
      <c r="H1" s="4" t="s">
        <v>3</v>
      </c>
      <c r="I1" s="4" t="s">
        <v>8</v>
      </c>
      <c r="J1" s="9" t="s">
        <v>46</v>
      </c>
    </row>
    <row r="2" spans="1:10" ht="34.799999999999997">
      <c r="A2" s="2">
        <v>1</v>
      </c>
      <c r="B2" s="2" t="s">
        <v>4</v>
      </c>
      <c r="C2" s="2" t="s">
        <v>9</v>
      </c>
      <c r="D2" s="3">
        <v>0.14000000000000001</v>
      </c>
      <c r="E2" s="3">
        <v>0.14000000000000001</v>
      </c>
      <c r="F2" s="3">
        <v>0.14000000000000001</v>
      </c>
      <c r="G2" s="3">
        <v>0</v>
      </c>
      <c r="H2" s="2" t="s">
        <v>43</v>
      </c>
      <c r="I2" s="2" t="s">
        <v>10</v>
      </c>
      <c r="J2" s="3" t="s">
        <v>47</v>
      </c>
    </row>
    <row r="3" spans="1:10" ht="34.799999999999997">
      <c r="A3" s="2">
        <v>2</v>
      </c>
      <c r="B3" s="2" t="s">
        <v>11</v>
      </c>
      <c r="C3" s="2" t="s">
        <v>12</v>
      </c>
      <c r="D3" s="3">
        <v>0.05</v>
      </c>
      <c r="E3" s="3">
        <v>0.05</v>
      </c>
      <c r="F3" s="3">
        <v>0.05</v>
      </c>
      <c r="G3" s="3">
        <v>0.05</v>
      </c>
      <c r="H3" s="2" t="s">
        <v>34</v>
      </c>
      <c r="I3" s="2" t="s">
        <v>13</v>
      </c>
      <c r="J3" s="3" t="s">
        <v>48</v>
      </c>
    </row>
    <row r="4" spans="1:10" ht="69.599999999999994">
      <c r="A4" s="2">
        <v>3</v>
      </c>
      <c r="B4" s="2" t="s">
        <v>5</v>
      </c>
      <c r="C4" s="2" t="s">
        <v>12</v>
      </c>
      <c r="D4" s="3">
        <v>0.06</v>
      </c>
      <c r="E4" s="3">
        <v>0.03</v>
      </c>
      <c r="F4" s="3">
        <v>0.03</v>
      </c>
      <c r="G4" s="3">
        <v>0.03</v>
      </c>
      <c r="H4" s="2" t="s">
        <v>33</v>
      </c>
      <c r="I4" s="2" t="s">
        <v>14</v>
      </c>
      <c r="J4" s="3" t="s">
        <v>49</v>
      </c>
    </row>
    <row r="5" spans="1:10" ht="34.799999999999997">
      <c r="A5" s="2">
        <v>4</v>
      </c>
      <c r="B5" s="2" t="s">
        <v>31</v>
      </c>
      <c r="C5" s="2" t="s">
        <v>12</v>
      </c>
      <c r="D5" s="3">
        <v>0.05</v>
      </c>
      <c r="E5" s="3">
        <v>0</v>
      </c>
      <c r="F5" s="3">
        <v>0.05</v>
      </c>
      <c r="G5" s="3">
        <v>0.05</v>
      </c>
      <c r="H5" s="2" t="s">
        <v>34</v>
      </c>
      <c r="I5" s="2" t="s">
        <v>15</v>
      </c>
      <c r="J5" s="3" t="s">
        <v>48</v>
      </c>
    </row>
    <row r="6" spans="1:10" ht="52.2">
      <c r="A6" s="2">
        <v>5</v>
      </c>
      <c r="B6" s="2" t="s">
        <v>16</v>
      </c>
      <c r="C6" s="2" t="s">
        <v>12</v>
      </c>
      <c r="D6" s="3">
        <v>0.05</v>
      </c>
      <c r="E6" s="3">
        <v>0.05</v>
      </c>
      <c r="F6" s="3">
        <v>0.05</v>
      </c>
      <c r="G6" s="3">
        <v>0.05</v>
      </c>
      <c r="H6" s="2" t="s">
        <v>45</v>
      </c>
      <c r="I6" s="2" t="s">
        <v>17</v>
      </c>
      <c r="J6" s="3" t="s">
        <v>48</v>
      </c>
    </row>
    <row r="7" spans="1:10" ht="52.2">
      <c r="A7" s="2">
        <v>6</v>
      </c>
      <c r="B7" s="2" t="s">
        <v>18</v>
      </c>
      <c r="C7" s="2" t="s">
        <v>12</v>
      </c>
      <c r="D7" s="3">
        <v>0.05</v>
      </c>
      <c r="E7" s="3">
        <v>0.05</v>
      </c>
      <c r="F7" s="3">
        <v>0.05</v>
      </c>
      <c r="G7" s="3">
        <v>0.05</v>
      </c>
      <c r="H7" s="2" t="s">
        <v>44</v>
      </c>
      <c r="I7" s="2" t="s">
        <v>19</v>
      </c>
      <c r="J7" s="3" t="s">
        <v>48</v>
      </c>
    </row>
    <row r="8" spans="1:10" ht="52.2">
      <c r="A8" s="2">
        <v>7</v>
      </c>
      <c r="B8" s="2" t="s">
        <v>20</v>
      </c>
      <c r="C8" s="2" t="s">
        <v>21</v>
      </c>
      <c r="D8" s="3">
        <v>0.1</v>
      </c>
      <c r="E8" s="3">
        <v>0</v>
      </c>
      <c r="F8" s="3">
        <v>0</v>
      </c>
      <c r="G8" s="3">
        <v>0.1</v>
      </c>
      <c r="H8" s="2" t="s">
        <v>35</v>
      </c>
      <c r="I8" s="2" t="s">
        <v>22</v>
      </c>
      <c r="J8" s="3" t="s">
        <v>50</v>
      </c>
    </row>
    <row r="9" spans="1:10" ht="34.799999999999997">
      <c r="A9" s="2">
        <v>8</v>
      </c>
      <c r="B9" s="2" t="s">
        <v>23</v>
      </c>
      <c r="C9" s="2" t="s">
        <v>21</v>
      </c>
      <c r="D9" s="3">
        <v>0.12</v>
      </c>
      <c r="E9" s="3">
        <v>0</v>
      </c>
      <c r="F9" s="3">
        <v>0.12</v>
      </c>
      <c r="G9" s="3">
        <v>0.12</v>
      </c>
      <c r="H9" s="2" t="s">
        <v>36</v>
      </c>
      <c r="I9" s="2" t="s">
        <v>24</v>
      </c>
      <c r="J9" s="3" t="s">
        <v>51</v>
      </c>
    </row>
    <row r="10" spans="1:10" ht="34.799999999999997">
      <c r="A10" s="2">
        <v>9</v>
      </c>
      <c r="B10" s="2" t="s">
        <v>25</v>
      </c>
      <c r="C10" s="2" t="s">
        <v>26</v>
      </c>
      <c r="D10" s="3">
        <v>0.13</v>
      </c>
      <c r="E10" s="3">
        <v>0.13</v>
      </c>
      <c r="F10" s="3">
        <v>0.13</v>
      </c>
      <c r="G10" s="3">
        <v>0.13</v>
      </c>
      <c r="H10" s="2" t="s">
        <v>41</v>
      </c>
      <c r="I10" s="2" t="s">
        <v>27</v>
      </c>
      <c r="J10" s="3" t="s">
        <v>52</v>
      </c>
    </row>
    <row r="11" spans="1:10" ht="34.799999999999997">
      <c r="A11" s="2">
        <v>10</v>
      </c>
      <c r="B11" s="2" t="s">
        <v>28</v>
      </c>
      <c r="C11" s="2" t="s">
        <v>26</v>
      </c>
      <c r="D11" s="3">
        <v>0.15</v>
      </c>
      <c r="E11" s="3">
        <v>0.15</v>
      </c>
      <c r="F11" s="3">
        <v>0</v>
      </c>
      <c r="G11" s="3">
        <v>0</v>
      </c>
      <c r="H11" s="2" t="s">
        <v>42</v>
      </c>
      <c r="I11" s="2" t="s">
        <v>29</v>
      </c>
      <c r="J11" s="3" t="s">
        <v>53</v>
      </c>
    </row>
    <row r="12" spans="1:10" ht="34.799999999999997">
      <c r="A12" s="2">
        <v>11</v>
      </c>
      <c r="B12" s="2" t="s">
        <v>0</v>
      </c>
      <c r="C12" s="2" t="s">
        <v>9</v>
      </c>
      <c r="D12" s="3">
        <v>0.1</v>
      </c>
      <c r="E12" s="3">
        <v>0.1</v>
      </c>
      <c r="F12" s="3">
        <v>0</v>
      </c>
      <c r="G12" s="3">
        <v>0</v>
      </c>
      <c r="H12" s="2" t="s">
        <v>37</v>
      </c>
      <c r="I12" s="2" t="s">
        <v>30</v>
      </c>
      <c r="J12" s="3" t="s">
        <v>50</v>
      </c>
    </row>
    <row r="13" spans="1:10" ht="17.399999999999999">
      <c r="A13" s="6"/>
      <c r="B13" s="7" t="s">
        <v>6</v>
      </c>
      <c r="C13" s="7"/>
      <c r="D13" s="8">
        <f>SUBTOTAL(109,D2:D12)</f>
        <v>1</v>
      </c>
      <c r="E13" s="8">
        <f>SUBTOTAL(109,E2:E12)</f>
        <v>0.7</v>
      </c>
      <c r="F13" s="8">
        <f>SUBTOTAL(109,F2:F12)</f>
        <v>0.62</v>
      </c>
      <c r="G13" s="8">
        <f>SUBTOTAL(109,G2:G12)</f>
        <v>0.57999999999999996</v>
      </c>
      <c r="H13" s="7">
        <v>100</v>
      </c>
      <c r="I13" s="7"/>
      <c r="J13" s="3"/>
    </row>
  </sheetData>
  <phoneticPr fontId="4" type="noConversion"/>
  <pageMargins left="0.25" right="0.25" top="0.75" bottom="0.75" header="0.3" footer="0.3"/>
  <pageSetup paperSize="9" scale="76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Nassef</dc:creator>
  <cp:lastModifiedBy>ahmed elsherbiny</cp:lastModifiedBy>
  <cp:lastPrinted>2026-09-06T13:49:25Z</cp:lastPrinted>
  <dcterms:created xsi:type="dcterms:W3CDTF">2024-09-02T11:37:18Z</dcterms:created>
  <dcterms:modified xsi:type="dcterms:W3CDTF">2026-09-16T11:50:23Z</dcterms:modified>
</cp:coreProperties>
</file>